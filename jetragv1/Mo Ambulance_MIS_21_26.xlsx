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PTISUNDARMOHANTY\dipti_2020\CLINOHEALTHINOVATION OFFICIAL FOLDER_2021\INVESTOR_DOCS\K4M_investor\DEC_23\"/>
    </mc:Choice>
  </mc:AlternateContent>
  <xr:revisionPtr revIDLastSave="0" documentId="8_{CB017768-1DF0-4328-A264-6DD2BD7B7C67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Cover Page" sheetId="15" r:id="rId1"/>
    <sheet name="Assumption &amp; Definition" sheetId="12" r:id="rId2"/>
    <sheet name="Revenue" sheetId="14" r:id="rId3"/>
    <sheet name="Expenses" sheetId="19" r:id="rId4"/>
    <sheet name="2021-22" sheetId="11" r:id="rId5"/>
    <sheet name="2022-23" sheetId="10" r:id="rId6"/>
    <sheet name="2023-24" sheetId="7" r:id="rId7"/>
    <sheet name="2024-25" sheetId="8" r:id="rId8"/>
    <sheet name="2025-26" sheetId="9" r:id="rId9"/>
  </sheets>
  <definedNames>
    <definedName name="_xlnm._FilterDatabase" localSheetId="3" hidden="1">Expenses!#REF!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" i="19" l="1"/>
  <c r="F17" i="19"/>
  <c r="D18" i="19"/>
  <c r="D17" i="19"/>
  <c r="L11" i="14"/>
  <c r="L10" i="14"/>
  <c r="L9" i="14"/>
  <c r="L17" i="19"/>
  <c r="L18" i="19" s="1"/>
  <c r="K6" i="19"/>
  <c r="I6" i="19"/>
  <c r="J17" i="19" s="1"/>
  <c r="J18" i="19" s="1"/>
  <c r="G6" i="19"/>
  <c r="H17" i="19" s="1"/>
  <c r="H18" i="19" s="1"/>
  <c r="E6" i="19"/>
  <c r="C6" i="19"/>
  <c r="O5" i="7" l="1"/>
  <c r="O13" i="7" l="1"/>
  <c r="O14" i="7" l="1"/>
  <c r="O15" i="7"/>
  <c r="O16" i="7" s="1"/>
  <c r="O17" i="7"/>
  <c r="O18" i="7"/>
  <c r="O19" i="7"/>
  <c r="O20" i="7"/>
  <c r="O22" i="7"/>
  <c r="O23" i="7" s="1"/>
  <c r="O24" i="7"/>
  <c r="O25" i="7"/>
  <c r="O26" i="7"/>
  <c r="K8" i="14"/>
  <c r="M8" i="14" s="1"/>
  <c r="O14" i="10"/>
  <c r="O11" i="10"/>
  <c r="O8" i="10"/>
  <c r="O6" i="10"/>
  <c r="D7" i="14"/>
  <c r="C7" i="14"/>
  <c r="K7" i="14" s="1"/>
  <c r="M7" i="14" s="1"/>
  <c r="N7" i="14" s="1"/>
  <c r="O22" i="9"/>
  <c r="J10" i="14"/>
  <c r="O11" i="7"/>
  <c r="O10" i="7"/>
  <c r="O6" i="7"/>
  <c r="O21" i="7" l="1"/>
  <c r="O15" i="10"/>
  <c r="O17" i="9"/>
  <c r="O8" i="7"/>
  <c r="O54" i="9"/>
  <c r="O55" i="9"/>
  <c r="O56" i="9"/>
  <c r="O57" i="9"/>
  <c r="O58" i="9"/>
  <c r="O59" i="9"/>
  <c r="O60" i="9"/>
  <c r="O61" i="9"/>
  <c r="O53" i="9"/>
  <c r="O33" i="8"/>
  <c r="O34" i="8"/>
  <c r="O35" i="8"/>
  <c r="O36" i="8"/>
  <c r="O37" i="8"/>
  <c r="O32" i="8"/>
  <c r="O44" i="9"/>
  <c r="O32" i="9"/>
  <c r="O33" i="9"/>
  <c r="O28" i="8"/>
  <c r="O15" i="8"/>
  <c r="O14" i="8"/>
  <c r="O13" i="8"/>
  <c r="O8" i="9"/>
  <c r="O9" i="9"/>
  <c r="O10" i="9"/>
  <c r="O11" i="9"/>
  <c r="O12" i="9"/>
  <c r="O13" i="9"/>
  <c r="O14" i="9"/>
  <c r="O7" i="9"/>
  <c r="O7" i="8"/>
  <c r="O8" i="8"/>
  <c r="O9" i="8"/>
  <c r="O10" i="8"/>
  <c r="O11" i="8"/>
  <c r="O9" i="7"/>
  <c r="F9" i="14" l="1"/>
  <c r="H9" i="14"/>
  <c r="O12" i="7"/>
  <c r="D9" i="14" s="1"/>
  <c r="G9" i="14"/>
  <c r="O7" i="7"/>
  <c r="C9" i="14" s="1"/>
  <c r="E9" i="14"/>
  <c r="I9" i="14"/>
  <c r="O36" i="9" l="1"/>
  <c r="O37" i="9"/>
  <c r="O38" i="9"/>
  <c r="O39" i="9"/>
  <c r="O40" i="9"/>
  <c r="O41" i="9"/>
  <c r="O42" i="9"/>
  <c r="O16" i="8"/>
  <c r="O9" i="11" l="1"/>
  <c r="O27" i="9"/>
  <c r="O28" i="9"/>
  <c r="O29" i="9"/>
  <c r="O26" i="9"/>
  <c r="O18" i="8"/>
  <c r="O51" i="9"/>
  <c r="O50" i="9"/>
  <c r="O49" i="9"/>
  <c r="O48" i="9"/>
  <c r="O47" i="9"/>
  <c r="O46" i="9"/>
  <c r="O30" i="8"/>
  <c r="O19" i="8" l="1"/>
  <c r="F10" i="14" s="1"/>
  <c r="O31" i="8"/>
  <c r="O30" i="9"/>
  <c r="F11" i="14" s="1"/>
  <c r="I10" i="14" l="1"/>
  <c r="O23" i="9"/>
  <c r="O24" i="9"/>
  <c r="O35" i="9"/>
  <c r="O31" i="9"/>
  <c r="O21" i="9"/>
  <c r="O20" i="9"/>
  <c r="O19" i="9"/>
  <c r="O18" i="9"/>
  <c r="O16" i="9"/>
  <c r="O26" i="8"/>
  <c r="O25" i="8"/>
  <c r="O24" i="8"/>
  <c r="O23" i="8"/>
  <c r="O22" i="8"/>
  <c r="O20" i="8"/>
  <c r="O12" i="8" l="1"/>
  <c r="C10" i="14" s="1"/>
  <c r="O27" i="8"/>
  <c r="G10" i="14" s="1"/>
  <c r="O15" i="9"/>
  <c r="C11" i="14" s="1"/>
  <c r="O17" i="8"/>
  <c r="D10" i="14" s="1"/>
  <c r="O62" i="9"/>
  <c r="O21" i="8"/>
  <c r="E10" i="14" s="1"/>
  <c r="O29" i="8"/>
  <c r="O30" i="7"/>
  <c r="O52" i="9"/>
  <c r="I11" i="14" s="1"/>
  <c r="O34" i="9"/>
  <c r="E11" i="14" s="1"/>
  <c r="O43" i="9"/>
  <c r="G11" i="14" s="1"/>
  <c r="O45" i="9"/>
  <c r="H11" i="14" s="1"/>
  <c r="O25" i="9"/>
  <c r="D11" i="14" s="1"/>
  <c r="J11" i="14" l="1"/>
  <c r="K11" i="14" s="1"/>
  <c r="M11" i="14" s="1"/>
  <c r="O63" i="9"/>
  <c r="H10" i="14"/>
  <c r="K10" i="14" s="1"/>
  <c r="M10" i="14" s="1"/>
  <c r="O39" i="8"/>
  <c r="O32" i="7"/>
  <c r="J9" i="14"/>
  <c r="K9" i="14" s="1"/>
  <c r="M9" i="14" s="1"/>
  <c r="N8" i="14"/>
  <c r="N11" i="14" l="1"/>
  <c r="N9" i="14"/>
  <c r="N10" i="14" l="1"/>
</calcChain>
</file>

<file path=xl/sharedStrings.xml><?xml version="1.0" encoding="utf-8"?>
<sst xmlns="http://schemas.openxmlformats.org/spreadsheetml/2006/main" count="311" uniqueCount="139">
  <si>
    <t>MHU</t>
  </si>
  <si>
    <t>TOTAL</t>
  </si>
  <si>
    <t>IOT</t>
  </si>
  <si>
    <t>Revenue Sources</t>
  </si>
  <si>
    <t>FY 2022-23</t>
  </si>
  <si>
    <t>Ambulance Provider</t>
  </si>
  <si>
    <t>Orissa</t>
  </si>
  <si>
    <t>Bihar</t>
  </si>
  <si>
    <t>Chattisgarh</t>
  </si>
  <si>
    <t>Oerall Revenue</t>
  </si>
  <si>
    <t>Jharkand</t>
  </si>
  <si>
    <t>States / Cities</t>
  </si>
  <si>
    <t>Industry</t>
  </si>
  <si>
    <t>HAMS COST PER MONTH</t>
  </si>
  <si>
    <t>Cost per Ride</t>
  </si>
  <si>
    <t>Cost per Industry</t>
  </si>
  <si>
    <t>Cost per MHU Screen</t>
  </si>
  <si>
    <t>Hospitals/KISOK/API</t>
  </si>
  <si>
    <t>Cost per IOT (Oxygensensor/other)</t>
  </si>
  <si>
    <t>FY 2023-24</t>
  </si>
  <si>
    <t>West Bengal</t>
  </si>
  <si>
    <t>Bangalore</t>
  </si>
  <si>
    <t>Delhi</t>
  </si>
  <si>
    <t>FY 2024-25</t>
  </si>
  <si>
    <t>FY 2025-26</t>
  </si>
  <si>
    <t>FY 2021-22</t>
  </si>
  <si>
    <t>Odisha</t>
  </si>
  <si>
    <t>Total</t>
  </si>
  <si>
    <t>RIDES (B2C)</t>
  </si>
  <si>
    <t>HAMS (B2B)</t>
  </si>
  <si>
    <t>MHU (B2B2C)</t>
  </si>
  <si>
    <t>IOT (B2B)</t>
  </si>
  <si>
    <t>INDUSTRY (B2B)</t>
  </si>
  <si>
    <t>WHITE LABELLING (B2B)</t>
  </si>
  <si>
    <t>AMBULANCE OXYGEN SENSOR (B2B)</t>
  </si>
  <si>
    <t xml:space="preserve">Total </t>
  </si>
  <si>
    <t>Chhattisgarh</t>
  </si>
  <si>
    <t>Jharkhand</t>
  </si>
  <si>
    <t>Cost per IOT (Oxygen sensor/other)</t>
  </si>
  <si>
    <t>Overall Revenue</t>
  </si>
  <si>
    <t>EBIDTA</t>
  </si>
  <si>
    <t>HAMS(B2B)</t>
  </si>
  <si>
    <t>RIDE (B2C)</t>
  </si>
  <si>
    <t>PRE PAID KISOK @900 PER MONTH PER KIOSK</t>
  </si>
  <si>
    <t>Years</t>
  </si>
  <si>
    <t>2021-22</t>
  </si>
  <si>
    <t>2022-23</t>
  </si>
  <si>
    <t>2023-24</t>
  </si>
  <si>
    <t>2024-25</t>
  </si>
  <si>
    <t>2025-26</t>
  </si>
  <si>
    <t>TOTAL REVENUE TO MO AMBULANCE (RS)</t>
  </si>
  <si>
    <t>EXPENDITURE</t>
  </si>
  <si>
    <t>B2B</t>
  </si>
  <si>
    <t>Hospital, Industry, Corporates</t>
  </si>
  <si>
    <t>HAMS</t>
  </si>
  <si>
    <t>KIOSK (PRE PAID)</t>
  </si>
  <si>
    <t>INDUSTRY</t>
  </si>
  <si>
    <t>Hospital Ambulance Management System</t>
  </si>
  <si>
    <t>Mobile Health Unit</t>
  </si>
  <si>
    <t>Pre Paid KISOK for Ambulance Management at Multispeciality Hospital</t>
  </si>
  <si>
    <t>Labelling of all app (B2C/DRIVER/HAMS) IN HOSPITAL NAME</t>
  </si>
  <si>
    <t>DEFINITION OF REVENUE SOURCE</t>
  </si>
  <si>
    <t>ASSUMPTIONS &amp; CLARIFICATIONS</t>
  </si>
  <si>
    <t>A</t>
  </si>
  <si>
    <t>Employee Cost</t>
  </si>
  <si>
    <t>Sales &amp; Marketing Cost</t>
  </si>
  <si>
    <t>B</t>
  </si>
  <si>
    <t>FY 23 - 24</t>
  </si>
  <si>
    <t>FY 23-24</t>
  </si>
  <si>
    <t>FY 24-25</t>
  </si>
  <si>
    <t>FY 25 - 26</t>
  </si>
  <si>
    <t>PRE PAID KISOK AMBULANCE MODEL</t>
  </si>
  <si>
    <t>Mo Ambulance has planned to integrate in all Ambulance of Govt to Monitor the Oxygen Level</t>
  </si>
  <si>
    <t>Govt. Level Policy Level</t>
  </si>
  <si>
    <t>Mo Ambulance has planned to introduce the smart city Ambulance Surveillance Model in Bhubaneswar Smart City to avoid the Crowd</t>
  </si>
  <si>
    <t>Mo Ambulance is in process to scale up the Bihar Project to State wise</t>
  </si>
  <si>
    <t>Reformation of Existing Ambulance to 5G Ambulance with Low Cost</t>
  </si>
  <si>
    <t>Policy Level Implementation of Factory Act 1948</t>
  </si>
  <si>
    <t>To implement the inhouse Ambulance as per Factory Act 1948</t>
  </si>
  <si>
    <t>Mo Ambulance has submitted the Proposal to TATA, JSW, PPL for Smart Ambulance Management Project</t>
  </si>
  <si>
    <t>Mo Ambulance is in Process of Developing the White Labelling Application for Chain of Hospital as Emergency Medical Service App. which includes the Patient App, Ambulance Driver app, and Hospital App.</t>
  </si>
  <si>
    <t>Insurance Support through B2C App.</t>
  </si>
  <si>
    <t>Mo Ambulance is in discussion with Insurance Company to support insurance for the Ambulance Ride Cost and also approval of Patient Treatment Cost before arrival at the hospital</t>
  </si>
  <si>
    <t>5G Mo Ambulance</t>
  </si>
  <si>
    <t>Mobile Health Unit (MHU)</t>
  </si>
  <si>
    <t>MHU support to the Onboarded Hospital for Patient footfall support and revenue generation of both</t>
  </si>
  <si>
    <t>IOT-Ambulance (Intrapartum Monitoring)</t>
  </si>
  <si>
    <t xml:space="preserve">Mo Ambulance will pilot the Project on 102/Janani Express Ambulance for Pregnant women Transportation to the Hospital </t>
  </si>
  <si>
    <t xml:space="preserve">Implementation of Universal HAMS </t>
  </si>
  <si>
    <t>HAMS will be Used by each hospital for Proper Monitoring of the In &amp; out of Ambulance without any delay</t>
  </si>
  <si>
    <t>DESCRIPTIONS</t>
  </si>
  <si>
    <t>Rental Ambulance</t>
  </si>
  <si>
    <t xml:space="preserve">As we have the aggregator of Ambulance , we are getting Proposal for Rental Ambulance </t>
  </si>
  <si>
    <t>Mo Ambulance has started the discussion with Odisha Govt. to introduce this Model in Major Hospital with &gt;500 bedded (Medical College &amp; Hospital)</t>
  </si>
  <si>
    <t>Mo Ambulance will have proposal to work with Govt. at the Policy Level implementation on Quality Assurance of the Private ambulance</t>
  </si>
  <si>
    <t>EBIDTA (%)</t>
  </si>
  <si>
    <t>WHITE LABELLING</t>
  </si>
  <si>
    <t>Cost per IOT (Oxygensensor/other/ATOMS)</t>
  </si>
  <si>
    <t>Agregator Ride</t>
  </si>
  <si>
    <t>Industry (B2B)</t>
  </si>
  <si>
    <t>Smart City Implementation (ATOMS)</t>
  </si>
  <si>
    <t>ATOMS</t>
  </si>
  <si>
    <t>Ambulance Traffic Organisation &amp; Management System for Urban and Smart City</t>
  </si>
  <si>
    <t>Colloboration Approach in Industry and Corporate for  Ambulance 24X7 Support Service</t>
  </si>
  <si>
    <t>HAMS (Hospital Ambulance Management System</t>
  </si>
  <si>
    <t>Mo Ambulance has Started the Implementation of Ambulance Support through Integration of tech Application with different Customize Model for Hospital</t>
  </si>
  <si>
    <t>Mo Ambulance</t>
  </si>
  <si>
    <t>Sources of Revenue</t>
  </si>
  <si>
    <t>SUMMARY OF CURRENT FINANCIAL STATUS &amp; PROJECTIONS</t>
  </si>
  <si>
    <t>Detail Expences Projection with respect Business Model from 2023-2026</t>
  </si>
  <si>
    <t>Hospitals/KISOK/White Labelling</t>
  </si>
  <si>
    <t>Number of Ambulance Onboard</t>
  </si>
  <si>
    <t>Hospitals/KISOK</t>
  </si>
  <si>
    <t>India (100junction/City)</t>
  </si>
  <si>
    <t>Odisha (100junction/City)</t>
  </si>
  <si>
    <t>India(100junction/City)</t>
  </si>
  <si>
    <t>Cost per MHU Screening</t>
  </si>
  <si>
    <t>Cost per White Labelling</t>
  </si>
  <si>
    <t>Cost perWhite Labelling</t>
  </si>
  <si>
    <t>Revenue Sources in Number</t>
  </si>
  <si>
    <t>WHITE LABELLING UNIT COST</t>
  </si>
  <si>
    <t>Income</t>
  </si>
  <si>
    <t>Expenditure</t>
  </si>
  <si>
    <t>AMTeK &amp; AMTeK-V</t>
  </si>
  <si>
    <t>Hyderabad</t>
  </si>
  <si>
    <t>FY 22-23</t>
  </si>
  <si>
    <t>FY 21-22</t>
  </si>
  <si>
    <t>Expences Head</t>
  </si>
  <si>
    <t>R&amp;D , IP, Publication Cost</t>
  </si>
  <si>
    <t>IT , IOT &amp; Server Cost</t>
  </si>
  <si>
    <t>Administration Cost</t>
  </si>
  <si>
    <t>Mislaneous</t>
  </si>
  <si>
    <t>Hospital &amp; Aggregator Cost</t>
  </si>
  <si>
    <t>Profit/Loss</t>
  </si>
  <si>
    <t>Hospital Partnership Model -HAMS (B2B)</t>
  </si>
  <si>
    <t>IOT(B2B): ATOMS</t>
  </si>
  <si>
    <t>ATOMS (IOT)</t>
  </si>
  <si>
    <t>EBITDA%</t>
  </si>
  <si>
    <t>Oxygen Sylinder Sensor, Breath Analyser, GPS, web Camera, E-log Book, Dashboard &amp; Vital Parameter device (ECG, Oxygen Saturation, PR, Temp, RR, BP)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</si>
</sst>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#,##0.0"/>
    <numFmt numFmtId="165" formatCode="_ * #,##0.0_ ;_ * \-#,##0.0_ ;_ * &quot;-&quot;??_ ;_ @_ "/>
    <numFmt numFmtId="166" formatCode="0.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98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horizontal="center" vertical="center" wrapText="1"/>
    </xf>
    <xf numFmtId="166" fontId="0" fillId="0" borderId="0" xfId="0" applyNumberFormat="1" applyAlignment="1">
      <alignment vertical="center" wrapText="1"/>
    </xf>
    <xf numFmtId="166" fontId="0" fillId="0" borderId="0" xfId="2" applyNumberFormat="1" applyFont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166" fontId="0" fillId="0" borderId="2" xfId="0" applyNumberForma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164" fontId="9" fillId="0" borderId="2" xfId="0" applyNumberFormat="1" applyFont="1" applyBorder="1" applyAlignment="1">
      <alignment horizontal="center" vertical="center" wrapText="1"/>
    </xf>
    <xf numFmtId="164" fontId="10" fillId="0" borderId="2" xfId="0" applyNumberFormat="1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" fontId="0" fillId="0" borderId="0" xfId="0" applyNumberFormat="1" applyAlignment="1">
      <alignment vertical="center" wrapText="1"/>
    </xf>
    <xf numFmtId="0" fontId="0" fillId="0" borderId="0" xfId="0" applyAlignment="1">
      <alignment wrapText="1"/>
    </xf>
    <xf numFmtId="9" fontId="11" fillId="0" borderId="2" xfId="2" applyFont="1" applyBorder="1" applyAlignment="1">
      <alignment horizontal="center" vertical="center" wrapText="1"/>
    </xf>
    <xf numFmtId="9" fontId="0" fillId="0" borderId="0" xfId="2" applyFont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164" fontId="0" fillId="2" borderId="2" xfId="0" applyNumberFormat="1" applyFill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3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164" fontId="12" fillId="0" borderId="2" xfId="0" applyNumberFormat="1" applyFont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164" fontId="12" fillId="2" borderId="2" xfId="0" applyNumberFormat="1" applyFont="1" applyFill="1" applyBorder="1" applyAlignment="1">
      <alignment horizontal="center" vertical="center" wrapText="1"/>
    </xf>
    <xf numFmtId="166" fontId="12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65" fontId="0" fillId="0" borderId="2" xfId="1" applyNumberFormat="1" applyFont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165" fontId="0" fillId="3" borderId="2" xfId="0" applyNumberForma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165" fontId="0" fillId="4" borderId="2" xfId="1" applyNumberFormat="1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164" fontId="13" fillId="4" borderId="2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165" fontId="0" fillId="2" borderId="2" xfId="1" applyNumberFormat="1" applyFont="1" applyFill="1" applyBorder="1" applyAlignment="1">
      <alignment horizontal="center" vertical="center" wrapText="1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6" fontId="9" fillId="0" borderId="3" xfId="0" applyNumberFormat="1" applyFont="1" applyBorder="1" applyAlignment="1">
      <alignment horizontal="center" vertical="center" wrapText="1"/>
    </xf>
    <xf numFmtId="166" fontId="9" fillId="0" borderId="4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0" fillId="0" borderId="2" xfId="0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4" fontId="0" fillId="0" borderId="2" xfId="0" applyNumberFormat="1" applyFill="1" applyBorder="1" applyAlignment="1">
      <alignment horizontal="center" vertical="center" wrapText="1"/>
    </xf>
    <xf numFmtId="4" fontId="3" fillId="0" borderId="2" xfId="0" applyNumberFormat="1" applyFont="1" applyFill="1" applyBorder="1" applyAlignment="1">
      <alignment horizontal="center" vertical="center" wrapText="1"/>
    </xf>
    <xf numFmtId="4" fontId="3" fillId="0" borderId="2" xfId="0" applyNumberFormat="1" applyFont="1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1" fillId="0" borderId="2" xfId="0" applyFont="1" applyFill="1" applyBorder="1" applyAlignment="1">
      <alignment vertical="center" wrapText="1"/>
    </xf>
    <xf numFmtId="4" fontId="0" fillId="0" borderId="0" xfId="0" applyNumberFormat="1" applyFill="1" applyAlignment="1">
      <alignment vertical="center" wrapText="1"/>
    </xf>
    <xf numFmtId="4" fontId="0" fillId="0" borderId="2" xfId="0" applyNumberFormat="1" applyFill="1" applyBorder="1" applyAlignment="1">
      <alignment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157266</xdr:colOff>
      <xdr:row>4</xdr:row>
      <xdr:rowOff>36010</xdr:rowOff>
    </xdr:from>
    <xdr:ext cx="5152822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29D82D3-EC68-1C6F-D257-D5F7537F9F5B}"/>
            </a:ext>
          </a:extLst>
        </xdr:cNvPr>
        <xdr:cNvSpPr/>
      </xdr:nvSpPr>
      <xdr:spPr>
        <a:xfrm>
          <a:off x="3205266" y="772610"/>
          <a:ext cx="5152822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rPr>
            <a:t>MO AMBULANCE</a:t>
          </a:r>
        </a:p>
      </xdr:txBody>
    </xdr:sp>
    <xdr:clientData/>
  </xdr:oneCellAnchor>
  <xdr:oneCellAnchor>
    <xdr:from>
      <xdr:col>1</xdr:col>
      <xdr:colOff>545527</xdr:colOff>
      <xdr:row>11</xdr:row>
      <xdr:rowOff>48710</xdr:rowOff>
    </xdr:from>
    <xdr:ext cx="9646808" cy="93762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62E5C37-5621-41B6-A8B6-A8E8401B729A}"/>
            </a:ext>
          </a:extLst>
        </xdr:cNvPr>
        <xdr:cNvSpPr/>
      </xdr:nvSpPr>
      <xdr:spPr>
        <a:xfrm>
          <a:off x="1155127" y="2074360"/>
          <a:ext cx="9646808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rPr>
            <a:t>BUSINESS PLAN FOR FUND RAISE</a:t>
          </a:r>
        </a:p>
      </xdr:txBody>
    </xdr:sp>
    <xdr:clientData/>
  </xdr:oneCellAnchor>
  <xdr:twoCellAnchor editAs="oneCell">
    <xdr:from>
      <xdr:col>0</xdr:col>
      <xdr:colOff>527050</xdr:colOff>
      <xdr:row>2</xdr:row>
      <xdr:rowOff>88900</xdr:rowOff>
    </xdr:from>
    <xdr:to>
      <xdr:col>3</xdr:col>
      <xdr:colOff>88900</xdr:colOff>
      <xdr:row>10</xdr:row>
      <xdr:rowOff>6350</xdr:rowOff>
    </xdr:to>
    <xdr:pic>
      <xdr:nvPicPr>
        <xdr:cNvPr id="4" name="Picture 3" descr="Mo Ambulance - Apps on Google Play">
          <a:extLst>
            <a:ext uri="{FF2B5EF4-FFF2-40B4-BE49-F238E27FC236}">
              <a16:creationId xmlns:a16="http://schemas.microsoft.com/office/drawing/2014/main" id="{6E65EBEF-8234-B40E-8AB2-7FBAE32F4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050" y="457200"/>
          <a:ext cx="1390650" cy="1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zoomScale="70" zoomScaleNormal="70" workbookViewId="0">
      <selection activeCell="W25" sqref="W2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topLeftCell="A16" workbookViewId="0">
      <selection activeCell="B27" sqref="B27"/>
    </sheetView>
  </sheetViews>
  <sheetFormatPr defaultRowHeight="14.4" x14ac:dyDescent="0.3"/>
  <cols>
    <col min="2" max="2" width="39.88671875" style="24" bestFit="1" customWidth="1"/>
    <col min="3" max="3" width="83.21875" style="24" bestFit="1" customWidth="1"/>
  </cols>
  <sheetData>
    <row r="1" spans="1:3" ht="18" x14ac:dyDescent="0.35">
      <c r="A1" s="62" t="s">
        <v>106</v>
      </c>
      <c r="B1" s="63"/>
      <c r="C1" s="63"/>
    </row>
    <row r="2" spans="1:3" x14ac:dyDescent="0.3">
      <c r="A2" s="37" t="s">
        <v>63</v>
      </c>
      <c r="B2" s="38" t="s">
        <v>61</v>
      </c>
      <c r="C2" s="38" t="s">
        <v>90</v>
      </c>
    </row>
    <row r="3" spans="1:3" x14ac:dyDescent="0.3">
      <c r="A3" s="35">
        <v>1</v>
      </c>
      <c r="B3" s="36" t="s">
        <v>52</v>
      </c>
      <c r="C3" s="36" t="s">
        <v>53</v>
      </c>
    </row>
    <row r="4" spans="1:3" x14ac:dyDescent="0.3">
      <c r="A4" s="35">
        <v>2</v>
      </c>
      <c r="B4" s="36" t="s">
        <v>54</v>
      </c>
      <c r="C4" s="36" t="s">
        <v>57</v>
      </c>
    </row>
    <row r="5" spans="1:3" x14ac:dyDescent="0.3">
      <c r="A5" s="35">
        <v>3</v>
      </c>
      <c r="B5" s="36" t="s">
        <v>0</v>
      </c>
      <c r="C5" s="36" t="s">
        <v>58</v>
      </c>
    </row>
    <row r="6" spans="1:3" ht="28.8" x14ac:dyDescent="0.3">
      <c r="A6" s="35">
        <v>4</v>
      </c>
      <c r="B6" s="36" t="s">
        <v>123</v>
      </c>
      <c r="C6" s="36" t="s">
        <v>138</v>
      </c>
    </row>
    <row r="7" spans="1:3" x14ac:dyDescent="0.3">
      <c r="A7" s="35">
        <v>6</v>
      </c>
      <c r="B7" s="36" t="s">
        <v>101</v>
      </c>
      <c r="C7" s="36" t="s">
        <v>102</v>
      </c>
    </row>
    <row r="8" spans="1:3" x14ac:dyDescent="0.3">
      <c r="A8" s="35">
        <v>6</v>
      </c>
      <c r="B8" s="36" t="s">
        <v>55</v>
      </c>
      <c r="C8" s="36" t="s">
        <v>59</v>
      </c>
    </row>
    <row r="9" spans="1:3" x14ac:dyDescent="0.3">
      <c r="A9" s="35">
        <v>7</v>
      </c>
      <c r="B9" s="36" t="s">
        <v>56</v>
      </c>
      <c r="C9" s="36" t="s">
        <v>103</v>
      </c>
    </row>
    <row r="10" spans="1:3" x14ac:dyDescent="0.3">
      <c r="A10" s="35">
        <v>8</v>
      </c>
      <c r="B10" s="36" t="s">
        <v>33</v>
      </c>
      <c r="C10" s="36" t="s">
        <v>60</v>
      </c>
    </row>
    <row r="11" spans="1:3" x14ac:dyDescent="0.3">
      <c r="A11" s="35"/>
      <c r="B11" s="36"/>
      <c r="C11" s="36"/>
    </row>
    <row r="12" spans="1:3" x14ac:dyDescent="0.3">
      <c r="A12" s="35"/>
      <c r="B12" s="36"/>
      <c r="C12" s="36"/>
    </row>
    <row r="13" spans="1:3" x14ac:dyDescent="0.3">
      <c r="A13" s="37" t="s">
        <v>66</v>
      </c>
      <c r="B13" s="38" t="s">
        <v>62</v>
      </c>
      <c r="C13" s="38" t="s">
        <v>90</v>
      </c>
    </row>
    <row r="14" spans="1:3" ht="28.8" x14ac:dyDescent="0.3">
      <c r="A14" s="35">
        <v>1</v>
      </c>
      <c r="B14" s="36" t="s">
        <v>71</v>
      </c>
      <c r="C14" s="36" t="s">
        <v>93</v>
      </c>
    </row>
    <row r="15" spans="1:3" ht="28.8" x14ac:dyDescent="0.3">
      <c r="A15" s="35">
        <v>2</v>
      </c>
      <c r="B15" s="36" t="s">
        <v>104</v>
      </c>
      <c r="C15" s="36" t="s">
        <v>105</v>
      </c>
    </row>
    <row r="16" spans="1:3" x14ac:dyDescent="0.3">
      <c r="A16" s="35">
        <v>3</v>
      </c>
      <c r="B16" s="36" t="s">
        <v>34</v>
      </c>
      <c r="C16" s="36" t="s">
        <v>72</v>
      </c>
    </row>
    <row r="17" spans="1:3" ht="28.8" x14ac:dyDescent="0.3">
      <c r="A17" s="35">
        <v>4</v>
      </c>
      <c r="B17" s="36" t="s">
        <v>73</v>
      </c>
      <c r="C17" s="36" t="s">
        <v>94</v>
      </c>
    </row>
    <row r="18" spans="1:3" ht="28.8" x14ac:dyDescent="0.3">
      <c r="A18" s="35">
        <v>5</v>
      </c>
      <c r="B18" s="36" t="s">
        <v>100</v>
      </c>
      <c r="C18" s="36" t="s">
        <v>74</v>
      </c>
    </row>
    <row r="19" spans="1:3" x14ac:dyDescent="0.3">
      <c r="A19" s="35">
        <v>6</v>
      </c>
      <c r="B19" s="36" t="s">
        <v>2</v>
      </c>
      <c r="C19" s="36" t="s">
        <v>75</v>
      </c>
    </row>
    <row r="20" spans="1:3" x14ac:dyDescent="0.3">
      <c r="A20" s="35">
        <v>7</v>
      </c>
      <c r="B20" s="36" t="s">
        <v>83</v>
      </c>
      <c r="C20" s="36" t="s">
        <v>76</v>
      </c>
    </row>
    <row r="21" spans="1:3" ht="28.8" x14ac:dyDescent="0.3">
      <c r="A21" s="35">
        <v>8</v>
      </c>
      <c r="B21" s="36" t="s">
        <v>77</v>
      </c>
      <c r="C21" s="36" t="s">
        <v>78</v>
      </c>
    </row>
    <row r="22" spans="1:3" ht="28.8" x14ac:dyDescent="0.3">
      <c r="A22" s="35">
        <v>9</v>
      </c>
      <c r="B22" s="36" t="s">
        <v>56</v>
      </c>
      <c r="C22" s="36" t="s">
        <v>79</v>
      </c>
    </row>
    <row r="23" spans="1:3" ht="43.2" x14ac:dyDescent="0.3">
      <c r="A23" s="35">
        <v>10</v>
      </c>
      <c r="B23" s="36" t="s">
        <v>33</v>
      </c>
      <c r="C23" s="36" t="s">
        <v>80</v>
      </c>
    </row>
    <row r="24" spans="1:3" ht="28.8" x14ac:dyDescent="0.3">
      <c r="A24" s="35">
        <v>11</v>
      </c>
      <c r="B24" s="36" t="s">
        <v>81</v>
      </c>
      <c r="C24" s="36" t="s">
        <v>82</v>
      </c>
    </row>
    <row r="25" spans="1:3" ht="28.8" x14ac:dyDescent="0.3">
      <c r="A25" s="35">
        <v>12</v>
      </c>
      <c r="B25" s="36" t="s">
        <v>84</v>
      </c>
      <c r="C25" s="36" t="s">
        <v>85</v>
      </c>
    </row>
    <row r="26" spans="1:3" ht="28.8" x14ac:dyDescent="0.3">
      <c r="A26" s="35">
        <v>13</v>
      </c>
      <c r="B26" s="36" t="s">
        <v>86</v>
      </c>
      <c r="C26" s="36" t="s">
        <v>87</v>
      </c>
    </row>
    <row r="27" spans="1:3" ht="28.8" x14ac:dyDescent="0.3">
      <c r="A27" s="35">
        <v>14</v>
      </c>
      <c r="B27" s="36" t="s">
        <v>88</v>
      </c>
      <c r="C27" s="36" t="s">
        <v>89</v>
      </c>
    </row>
    <row r="28" spans="1:3" x14ac:dyDescent="0.3">
      <c r="A28" s="35">
        <v>15</v>
      </c>
      <c r="B28" s="36" t="s">
        <v>91</v>
      </c>
      <c r="C28" s="36" t="s">
        <v>92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P16"/>
  <sheetViews>
    <sheetView showGridLines="0" zoomScale="70" zoomScaleNormal="70" workbookViewId="0">
      <pane xSplit="2" topLeftCell="C1" activePane="topRight" state="frozen"/>
      <selection pane="topRight" activeCell="G17" sqref="G17"/>
    </sheetView>
  </sheetViews>
  <sheetFormatPr defaultColWidth="8.77734375" defaultRowHeight="14.4" x14ac:dyDescent="0.3"/>
  <cols>
    <col min="1" max="1" width="8.77734375" style="12"/>
    <col min="2" max="2" width="17.109375" style="12" customWidth="1"/>
    <col min="3" max="3" width="15.6640625" style="12" customWidth="1"/>
    <col min="4" max="4" width="17.21875" style="12" bestFit="1" customWidth="1"/>
    <col min="5" max="6" width="15.6640625" style="12" customWidth="1"/>
    <col min="7" max="7" width="17.21875" style="12" customWidth="1"/>
    <col min="8" max="8" width="17.21875" style="12" bestFit="1" customWidth="1"/>
    <col min="9" max="9" width="16.109375" style="12" customWidth="1"/>
    <col min="10" max="10" width="17.33203125" style="12" customWidth="1"/>
    <col min="11" max="11" width="17.88671875" style="12" customWidth="1"/>
    <col min="12" max="12" width="17.77734375" style="14" customWidth="1"/>
    <col min="13" max="13" width="21.88671875" style="14" customWidth="1"/>
    <col min="14" max="14" width="15" style="12" customWidth="1"/>
    <col min="15" max="15" width="13.33203125" style="12" bestFit="1" customWidth="1"/>
    <col min="16" max="16" width="14.109375" style="12" bestFit="1" customWidth="1"/>
    <col min="17" max="17" width="8.77734375" style="12"/>
    <col min="18" max="18" width="10" style="12" bestFit="1" customWidth="1"/>
    <col min="19" max="16384" width="8.77734375" style="12"/>
  </cols>
  <sheetData>
    <row r="2" spans="2:16" ht="57.6" customHeight="1" x14ac:dyDescent="0.3">
      <c r="B2" s="66" t="s">
        <v>108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</row>
    <row r="4" spans="2:16" ht="18" x14ac:dyDescent="0.3">
      <c r="B4" s="64" t="s">
        <v>44</v>
      </c>
      <c r="C4" s="75" t="s">
        <v>107</v>
      </c>
      <c r="D4" s="75"/>
      <c r="E4" s="75"/>
      <c r="F4" s="75"/>
      <c r="G4" s="75"/>
      <c r="H4" s="75"/>
      <c r="I4" s="75"/>
      <c r="J4" s="75"/>
      <c r="K4" s="64" t="s">
        <v>50</v>
      </c>
      <c r="L4" s="67" t="s">
        <v>51</v>
      </c>
      <c r="M4" s="67" t="s">
        <v>40</v>
      </c>
      <c r="N4" s="67" t="s">
        <v>95</v>
      </c>
    </row>
    <row r="5" spans="2:16" ht="72" x14ac:dyDescent="0.3">
      <c r="B5" s="65"/>
      <c r="C5" s="58" t="s">
        <v>98</v>
      </c>
      <c r="D5" s="58" t="s">
        <v>134</v>
      </c>
      <c r="E5" s="58" t="s">
        <v>99</v>
      </c>
      <c r="F5" s="18" t="s">
        <v>0</v>
      </c>
      <c r="G5" s="18" t="s">
        <v>34</v>
      </c>
      <c r="H5" s="58" t="s">
        <v>135</v>
      </c>
      <c r="I5" s="58" t="s">
        <v>43</v>
      </c>
      <c r="J5" s="18" t="s">
        <v>33</v>
      </c>
      <c r="K5" s="65"/>
      <c r="L5" s="68"/>
      <c r="M5" s="68"/>
      <c r="N5" s="68"/>
    </row>
    <row r="6" spans="2:16" x14ac:dyDescent="0.3">
      <c r="B6" s="16"/>
      <c r="C6" s="40"/>
      <c r="D6" s="40"/>
      <c r="E6" s="40"/>
      <c r="F6" s="16"/>
      <c r="G6" s="16"/>
      <c r="H6" s="40"/>
      <c r="I6" s="40"/>
      <c r="J6" s="16"/>
      <c r="K6" s="16"/>
      <c r="L6" s="17"/>
      <c r="M6" s="17"/>
      <c r="N6" s="17"/>
    </row>
    <row r="7" spans="2:16" ht="18" x14ac:dyDescent="0.3">
      <c r="B7" s="18" t="s">
        <v>45</v>
      </c>
      <c r="C7" s="61">
        <f>'2021-22'!O5</f>
        <v>3167192</v>
      </c>
      <c r="D7" s="61">
        <f>'2021-22'!O8</f>
        <v>33050</v>
      </c>
      <c r="E7" s="61"/>
      <c r="F7" s="19"/>
      <c r="G7" s="19"/>
      <c r="H7" s="61"/>
      <c r="I7" s="61"/>
      <c r="J7" s="19"/>
      <c r="K7" s="19">
        <f>C7+D7</f>
        <v>3200242</v>
      </c>
      <c r="L7" s="20">
        <v>6466000</v>
      </c>
      <c r="M7" s="21">
        <f>K7-L7</f>
        <v>-3265758</v>
      </c>
      <c r="N7" s="25">
        <f>M7/K7</f>
        <v>-1.0204722017897396</v>
      </c>
    </row>
    <row r="8" spans="2:16" ht="18" x14ac:dyDescent="0.3">
      <c r="B8" s="18" t="s">
        <v>46</v>
      </c>
      <c r="C8" s="61">
        <v>9449000</v>
      </c>
      <c r="D8" s="61">
        <v>76000</v>
      </c>
      <c r="E8" s="61">
        <v>0</v>
      </c>
      <c r="F8" s="19">
        <v>39000</v>
      </c>
      <c r="G8" s="19">
        <v>0</v>
      </c>
      <c r="H8" s="61">
        <v>1290000</v>
      </c>
      <c r="I8" s="61">
        <v>0</v>
      </c>
      <c r="J8" s="19">
        <v>0</v>
      </c>
      <c r="K8" s="19">
        <f>C8+D8+F8+E8+G8+H8+I8+J8</f>
        <v>10854000</v>
      </c>
      <c r="L8" s="20">
        <v>13656000</v>
      </c>
      <c r="M8" s="21">
        <f>K8-L8</f>
        <v>-2802000</v>
      </c>
      <c r="N8" s="25">
        <f>M8/K8</f>
        <v>-0.25815367606412382</v>
      </c>
    </row>
    <row r="9" spans="2:16" ht="18" x14ac:dyDescent="0.3">
      <c r="B9" s="18" t="s">
        <v>47</v>
      </c>
      <c r="C9" s="61">
        <f>'2023-24'!O7</f>
        <v>2700000</v>
      </c>
      <c r="D9" s="61">
        <f>'2023-24'!O12</f>
        <v>27450000</v>
      </c>
      <c r="E9" s="61">
        <f>'2023-24'!O16</f>
        <v>600000</v>
      </c>
      <c r="F9" s="19">
        <f>'2023-24'!O14</f>
        <v>360000</v>
      </c>
      <c r="G9" s="19">
        <f>'2023-24'!O21</f>
        <v>7000000</v>
      </c>
      <c r="H9" s="61">
        <f>'2023-24'!O23</f>
        <v>1720000</v>
      </c>
      <c r="I9" s="61">
        <f>'2023-24'!O25</f>
        <v>0</v>
      </c>
      <c r="J9" s="19">
        <f>'2023-24'!O30</f>
        <v>400000</v>
      </c>
      <c r="K9" s="19">
        <f>C9+D9+E9+F9+G9+H9+I9+J9</f>
        <v>40230000</v>
      </c>
      <c r="L9" s="20">
        <f>Expenses!H6</f>
        <v>38218500</v>
      </c>
      <c r="M9" s="21">
        <f t="shared" ref="M9:M11" si="0">K9-L9</f>
        <v>2011500</v>
      </c>
      <c r="N9" s="25">
        <f>M9/K9</f>
        <v>0.05</v>
      </c>
      <c r="P9" s="28"/>
    </row>
    <row r="10" spans="2:16" ht="18" x14ac:dyDescent="0.3">
      <c r="B10" s="18" t="s">
        <v>48</v>
      </c>
      <c r="C10" s="61">
        <f>'2024-25'!O12</f>
        <v>14400000</v>
      </c>
      <c r="D10" s="61">
        <f>'2024-25'!O17</f>
        <v>103800000</v>
      </c>
      <c r="E10" s="61">
        <f>'2024-25'!O21</f>
        <v>6000000</v>
      </c>
      <c r="F10" s="19">
        <f>'2024-25'!O19</f>
        <v>2160000</v>
      </c>
      <c r="G10" s="19">
        <f>'2024-25'!O27</f>
        <v>35000000</v>
      </c>
      <c r="H10" s="61">
        <f>'2024-25'!O29</f>
        <v>25800000</v>
      </c>
      <c r="I10" s="61">
        <f>'2024-25'!O31</f>
        <v>25920000</v>
      </c>
      <c r="J10" s="19">
        <f>'2024-25'!O38</f>
        <v>1800000</v>
      </c>
      <c r="K10" s="19">
        <f>J10+I10+H10+G10+F10+E10+D10+C10</f>
        <v>214880000</v>
      </c>
      <c r="L10" s="20">
        <f>Expenses!J6</f>
        <v>186945600</v>
      </c>
      <c r="M10" s="21">
        <f t="shared" si="0"/>
        <v>27934400</v>
      </c>
      <c r="N10" s="25">
        <f>M10/K10</f>
        <v>0.13</v>
      </c>
      <c r="P10" s="28"/>
    </row>
    <row r="11" spans="2:16" ht="18" x14ac:dyDescent="0.3">
      <c r="B11" s="18" t="s">
        <v>49</v>
      </c>
      <c r="C11" s="61">
        <f>'2025-26'!O15</f>
        <v>72000000</v>
      </c>
      <c r="D11" s="61">
        <f>'2025-26'!O25</f>
        <v>291150000</v>
      </c>
      <c r="E11" s="61">
        <f>'2025-26'!O34</f>
        <v>20160000</v>
      </c>
      <c r="F11" s="19">
        <f>'2025-26'!O30</f>
        <v>10800000</v>
      </c>
      <c r="G11" s="19">
        <f>'2025-26'!O43</f>
        <v>84000000</v>
      </c>
      <c r="H11" s="61">
        <f>'2025-26'!O45</f>
        <v>103200000</v>
      </c>
      <c r="I11" s="61">
        <f>'2025-26'!O52</f>
        <v>116640000</v>
      </c>
      <c r="J11" s="19">
        <f>'2025-26'!O62</f>
        <v>2400000</v>
      </c>
      <c r="K11" s="19">
        <f>J11+I11+H11+G11+F11+E11+D11+C11</f>
        <v>700350000</v>
      </c>
      <c r="L11" s="20">
        <f>Expenses!L6</f>
        <v>588294000</v>
      </c>
      <c r="M11" s="21">
        <f t="shared" si="0"/>
        <v>112056000</v>
      </c>
      <c r="N11" s="25">
        <f>M11/K11</f>
        <v>0.16</v>
      </c>
      <c r="P11" s="28"/>
    </row>
    <row r="12" spans="2:16" x14ac:dyDescent="0.3">
      <c r="C12" s="5"/>
      <c r="D12" s="5"/>
      <c r="E12" s="5"/>
      <c r="F12" s="5"/>
      <c r="G12" s="5"/>
      <c r="H12" s="5"/>
      <c r="I12" s="5"/>
      <c r="J12" s="5"/>
      <c r="K12" s="5"/>
      <c r="L12" s="15"/>
      <c r="M12" s="11"/>
      <c r="N12" s="26"/>
    </row>
    <row r="13" spans="2:16" x14ac:dyDescent="0.3">
      <c r="C13" s="5"/>
      <c r="D13" s="5"/>
      <c r="E13" s="5"/>
      <c r="F13" s="5"/>
      <c r="G13" s="5"/>
      <c r="H13" s="5"/>
      <c r="I13" s="5"/>
      <c r="J13" s="5"/>
      <c r="K13" s="5"/>
      <c r="L13" s="15"/>
      <c r="M13" s="11"/>
      <c r="N13" s="26"/>
    </row>
    <row r="14" spans="2:16" x14ac:dyDescent="0.3">
      <c r="C14" s="5"/>
      <c r="D14" s="5"/>
      <c r="E14" s="5"/>
      <c r="F14" s="5"/>
      <c r="G14" s="5"/>
      <c r="H14" s="5"/>
      <c r="I14" s="5"/>
      <c r="J14" s="5"/>
      <c r="K14" s="5"/>
      <c r="L14" s="11"/>
      <c r="M14" s="11"/>
      <c r="N14" s="26"/>
    </row>
    <row r="15" spans="2:16" x14ac:dyDescent="0.3">
      <c r="C15" s="5"/>
      <c r="D15" s="5"/>
      <c r="E15" s="5"/>
      <c r="F15" s="5"/>
      <c r="G15" s="5"/>
      <c r="H15" s="5"/>
      <c r="I15" s="5"/>
      <c r="J15" s="5"/>
      <c r="K15" s="5"/>
      <c r="L15" s="11"/>
      <c r="M15" s="11"/>
      <c r="N15" s="5"/>
    </row>
    <row r="16" spans="2:16" x14ac:dyDescent="0.3">
      <c r="C16" s="5"/>
      <c r="D16" s="5"/>
      <c r="E16" s="5"/>
      <c r="F16" s="5"/>
      <c r="G16" s="5"/>
      <c r="H16" s="5"/>
      <c r="I16" s="5"/>
      <c r="J16" s="5"/>
      <c r="K16" s="5"/>
      <c r="L16" s="11"/>
      <c r="M16" s="11"/>
      <c r="N16" s="5"/>
    </row>
  </sheetData>
  <mergeCells count="7">
    <mergeCell ref="C4:J4"/>
    <mergeCell ref="B4:B5"/>
    <mergeCell ref="B2:N2"/>
    <mergeCell ref="K4:K5"/>
    <mergeCell ref="L4:L5"/>
    <mergeCell ref="M4:M5"/>
    <mergeCell ref="N4:N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2DAD7-4083-491C-A6FB-D685CAAABFD8}">
  <dimension ref="A3:P18"/>
  <sheetViews>
    <sheetView tabSelected="1" zoomScale="80" zoomScaleNormal="80" workbookViewId="0">
      <pane ySplit="1" topLeftCell="A2" activePane="bottomLeft" state="frozen"/>
      <selection pane="bottomLeft" activeCell="J23" sqref="J23"/>
    </sheetView>
  </sheetViews>
  <sheetFormatPr defaultColWidth="8.77734375" defaultRowHeight="14.4" x14ac:dyDescent="0.3"/>
  <cols>
    <col min="1" max="1" width="8.77734375" style="1"/>
    <col min="2" max="2" width="26" style="2" customWidth="1"/>
    <col min="3" max="3" width="26" style="22" customWidth="1"/>
    <col min="4" max="4" width="27.109375" style="12" customWidth="1"/>
    <col min="5" max="5" width="19.77734375" style="23" bestFit="1" customWidth="1"/>
    <col min="6" max="6" width="19.77734375" style="23" customWidth="1"/>
    <col min="7" max="7" width="14.77734375" style="23" bestFit="1" customWidth="1"/>
    <col min="8" max="8" width="14.109375" style="23" bestFit="1" customWidth="1"/>
    <col min="9" max="9" width="15.44140625" style="23" bestFit="1" customWidth="1"/>
    <col min="10" max="10" width="15.33203125" style="23" bestFit="1" customWidth="1"/>
    <col min="11" max="11" width="16.88671875" style="23" bestFit="1" customWidth="1"/>
    <col min="12" max="13" width="15.33203125" style="23" bestFit="1" customWidth="1"/>
    <col min="14" max="14" width="16.33203125" style="23" customWidth="1"/>
    <col min="15" max="15" width="11.21875" style="12" hidden="1" customWidth="1"/>
    <col min="16" max="16" width="16" style="12" hidden="1" customWidth="1"/>
    <col min="17" max="17" width="14.21875" style="12" bestFit="1" customWidth="1"/>
    <col min="18" max="19" width="10" style="12" bestFit="1" customWidth="1"/>
    <col min="20" max="20" width="8.77734375" style="12"/>
    <col min="21" max="21" width="15.33203125" style="12" bestFit="1" customWidth="1"/>
    <col min="22" max="16384" width="8.77734375" style="12"/>
  </cols>
  <sheetData>
    <row r="3" spans="1:16" ht="18" customHeight="1" x14ac:dyDescent="0.3">
      <c r="A3" s="75" t="s">
        <v>109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84"/>
      <c r="N3" s="84"/>
    </row>
    <row r="4" spans="1:16" s="91" customFormat="1" ht="18" customHeight="1" x14ac:dyDescent="0.3">
      <c r="A4" s="85"/>
      <c r="B4" s="86" t="s">
        <v>127</v>
      </c>
      <c r="C4" s="87" t="s">
        <v>126</v>
      </c>
      <c r="D4" s="87"/>
      <c r="E4" s="87" t="s">
        <v>125</v>
      </c>
      <c r="F4" s="87"/>
      <c r="G4" s="88" t="s">
        <v>68</v>
      </c>
      <c r="H4" s="88"/>
      <c r="I4" s="88" t="s">
        <v>69</v>
      </c>
      <c r="J4" s="88"/>
      <c r="K4" s="89" t="s">
        <v>70</v>
      </c>
      <c r="L4" s="90"/>
      <c r="N4" s="89"/>
      <c r="O4" s="92" t="s">
        <v>67</v>
      </c>
      <c r="P4" s="92"/>
    </row>
    <row r="5" spans="1:16" s="91" customFormat="1" x14ac:dyDescent="0.3">
      <c r="A5" s="85"/>
      <c r="B5" s="86"/>
      <c r="C5" s="93" t="s">
        <v>121</v>
      </c>
      <c r="D5" s="90" t="s">
        <v>122</v>
      </c>
      <c r="E5" s="93" t="s">
        <v>121</v>
      </c>
      <c r="F5" s="90" t="s">
        <v>122</v>
      </c>
      <c r="G5" s="93" t="s">
        <v>121</v>
      </c>
      <c r="H5" s="90" t="s">
        <v>122</v>
      </c>
      <c r="I5" s="93" t="s">
        <v>121</v>
      </c>
      <c r="J5" s="90" t="s">
        <v>122</v>
      </c>
      <c r="K5" s="93" t="s">
        <v>121</v>
      </c>
      <c r="L5" s="90" t="s">
        <v>122</v>
      </c>
      <c r="M5" s="94"/>
      <c r="N5" s="94"/>
    </row>
    <row r="6" spans="1:16" s="91" customFormat="1" x14ac:dyDescent="0.3">
      <c r="A6" s="85"/>
      <c r="B6" s="86"/>
      <c r="C6" s="93">
        <f>'2021-22'!O9</f>
        <v>3200242</v>
      </c>
      <c r="D6" s="90">
        <v>6466000</v>
      </c>
      <c r="E6" s="95">
        <f>'2022-23'!O15</f>
        <v>10854000</v>
      </c>
      <c r="F6" s="95">
        <v>13656000</v>
      </c>
      <c r="G6" s="95">
        <f>'2023-24'!O32</f>
        <v>40230000</v>
      </c>
      <c r="H6" s="95">
        <v>38218500</v>
      </c>
      <c r="I6" s="95">
        <f>'2024-25'!O39</f>
        <v>214880000</v>
      </c>
      <c r="J6" s="95">
        <v>186945600</v>
      </c>
      <c r="K6" s="95">
        <f>'2025-26'!O63</f>
        <v>700350000</v>
      </c>
      <c r="L6" s="95">
        <v>588294000</v>
      </c>
      <c r="M6" s="94"/>
      <c r="N6" s="94"/>
    </row>
    <row r="7" spans="1:16" s="91" customFormat="1" x14ac:dyDescent="0.3">
      <c r="A7" s="85"/>
      <c r="B7" s="86"/>
      <c r="C7" s="93"/>
      <c r="D7" s="90"/>
      <c r="E7" s="95"/>
      <c r="F7" s="95"/>
      <c r="G7" s="95"/>
      <c r="H7" s="95"/>
      <c r="I7" s="95"/>
      <c r="J7" s="95"/>
      <c r="K7" s="95"/>
      <c r="L7" s="95"/>
      <c r="M7" s="94"/>
      <c r="N7" s="94"/>
    </row>
    <row r="8" spans="1:16" s="91" customFormat="1" x14ac:dyDescent="0.3">
      <c r="A8" s="85"/>
      <c r="B8" s="86" t="s">
        <v>64</v>
      </c>
      <c r="C8" s="93"/>
      <c r="D8" s="90">
        <v>2149000</v>
      </c>
      <c r="E8" s="95"/>
      <c r="F8" s="95">
        <v>3178000</v>
      </c>
      <c r="G8" s="95"/>
      <c r="H8" s="95">
        <v>10057500</v>
      </c>
      <c r="I8" s="95"/>
      <c r="J8" s="90">
        <v>42976000</v>
      </c>
      <c r="K8" s="95"/>
      <c r="L8" s="95">
        <v>140070000</v>
      </c>
      <c r="M8" s="94"/>
      <c r="N8" s="94"/>
    </row>
    <row r="9" spans="1:16" s="91" customFormat="1" x14ac:dyDescent="0.3">
      <c r="A9" s="85"/>
      <c r="B9" s="86" t="s">
        <v>65</v>
      </c>
      <c r="C9" s="93"/>
      <c r="D9" s="90">
        <v>153000</v>
      </c>
      <c r="E9" s="95"/>
      <c r="F9" s="95">
        <v>708000</v>
      </c>
      <c r="G9" s="95"/>
      <c r="H9" s="95">
        <v>4023000</v>
      </c>
      <c r="I9" s="95"/>
      <c r="J9" s="90">
        <v>21488000</v>
      </c>
      <c r="K9" s="95"/>
      <c r="L9" s="95">
        <v>70035000</v>
      </c>
      <c r="M9" s="94"/>
      <c r="N9" s="94"/>
    </row>
    <row r="10" spans="1:16" s="91" customFormat="1" x14ac:dyDescent="0.3">
      <c r="A10" s="85"/>
      <c r="B10" s="86" t="s">
        <v>132</v>
      </c>
      <c r="C10" s="93"/>
      <c r="D10" s="90">
        <v>2900000</v>
      </c>
      <c r="E10" s="95"/>
      <c r="F10" s="95">
        <v>8409000</v>
      </c>
      <c r="G10" s="95"/>
      <c r="H10" s="95">
        <v>18103500</v>
      </c>
      <c r="I10" s="95"/>
      <c r="J10" s="90">
        <v>85952000</v>
      </c>
      <c r="K10" s="95"/>
      <c r="L10" s="95">
        <v>259129500</v>
      </c>
      <c r="M10" s="94"/>
      <c r="N10" s="94"/>
    </row>
    <row r="11" spans="1:16" s="91" customFormat="1" x14ac:dyDescent="0.3">
      <c r="A11" s="85"/>
      <c r="B11" s="90" t="s">
        <v>129</v>
      </c>
      <c r="C11" s="93"/>
      <c r="D11" s="90">
        <v>468000</v>
      </c>
      <c r="E11" s="95"/>
      <c r="F11" s="95">
        <v>50000</v>
      </c>
      <c r="G11" s="95"/>
      <c r="H11" s="95">
        <v>2011500</v>
      </c>
      <c r="I11" s="95"/>
      <c r="J11" s="90">
        <v>16116000</v>
      </c>
      <c r="K11" s="95"/>
      <c r="L11" s="95">
        <v>52526250</v>
      </c>
      <c r="M11" s="94"/>
      <c r="N11" s="94"/>
    </row>
    <row r="12" spans="1:16" s="91" customFormat="1" x14ac:dyDescent="0.3">
      <c r="A12" s="85"/>
      <c r="B12" s="86" t="s">
        <v>128</v>
      </c>
      <c r="C12" s="93"/>
      <c r="D12" s="90">
        <v>145000</v>
      </c>
      <c r="E12" s="95"/>
      <c r="F12" s="95">
        <v>60000</v>
      </c>
      <c r="G12" s="95"/>
      <c r="H12" s="95">
        <v>1005750</v>
      </c>
      <c r="I12" s="95"/>
      <c r="J12" s="90">
        <v>4297600</v>
      </c>
      <c r="K12" s="95"/>
      <c r="L12" s="95">
        <v>14007000</v>
      </c>
      <c r="M12" s="94"/>
      <c r="N12" s="94"/>
    </row>
    <row r="13" spans="1:16" s="91" customFormat="1" x14ac:dyDescent="0.3">
      <c r="A13" s="85"/>
      <c r="B13" s="86" t="s">
        <v>130</v>
      </c>
      <c r="C13" s="93"/>
      <c r="D13" s="90">
        <v>550000</v>
      </c>
      <c r="E13" s="95"/>
      <c r="F13" s="95">
        <v>1194000</v>
      </c>
      <c r="G13" s="95"/>
      <c r="H13" s="95">
        <v>2011500</v>
      </c>
      <c r="I13" s="95"/>
      <c r="J13" s="90">
        <v>5372000</v>
      </c>
      <c r="K13" s="95"/>
      <c r="L13" s="95">
        <v>17508750</v>
      </c>
      <c r="M13" s="94"/>
      <c r="N13" s="94"/>
    </row>
    <row r="14" spans="1:16" s="91" customFormat="1" x14ac:dyDescent="0.3">
      <c r="A14" s="85"/>
      <c r="B14" s="86" t="s">
        <v>131</v>
      </c>
      <c r="C14" s="93"/>
      <c r="D14" s="90">
        <v>101000</v>
      </c>
      <c r="E14" s="95"/>
      <c r="F14" s="95">
        <v>57000</v>
      </c>
      <c r="G14" s="95"/>
      <c r="H14" s="95">
        <v>1005750</v>
      </c>
      <c r="I14" s="95"/>
      <c r="J14" s="90">
        <v>10744000</v>
      </c>
      <c r="K14" s="95"/>
      <c r="L14" s="95">
        <v>35017500</v>
      </c>
      <c r="M14" s="94"/>
      <c r="N14" s="94"/>
    </row>
    <row r="15" spans="1:16" s="91" customFormat="1" x14ac:dyDescent="0.3">
      <c r="A15" s="85"/>
      <c r="B15" s="86"/>
      <c r="C15" s="93"/>
      <c r="D15" s="90"/>
      <c r="E15" s="95"/>
      <c r="F15" s="95"/>
      <c r="G15" s="95"/>
      <c r="H15" s="95"/>
      <c r="I15" s="95"/>
      <c r="J15" s="95"/>
      <c r="K15" s="95"/>
      <c r="L15" s="95"/>
      <c r="M15" s="94"/>
      <c r="N15" s="94"/>
    </row>
    <row r="16" spans="1:16" s="91" customFormat="1" x14ac:dyDescent="0.3">
      <c r="A16" s="85"/>
      <c r="B16" s="86"/>
      <c r="C16" s="93"/>
      <c r="D16" s="90"/>
      <c r="E16" s="95"/>
      <c r="F16" s="95"/>
      <c r="G16" s="95"/>
      <c r="H16" s="95"/>
      <c r="I16" s="95"/>
      <c r="J16" s="95"/>
      <c r="K16" s="95"/>
      <c r="L16" s="95"/>
      <c r="M16" s="94"/>
      <c r="N16" s="94"/>
    </row>
    <row r="17" spans="1:14" s="91" customFormat="1" x14ac:dyDescent="0.3">
      <c r="A17" s="85"/>
      <c r="B17" s="86" t="s">
        <v>133</v>
      </c>
      <c r="C17" s="93"/>
      <c r="D17" s="90">
        <f>C6-D6</f>
        <v>-3265758</v>
      </c>
      <c r="E17" s="95"/>
      <c r="F17" s="95">
        <f>E6-F6</f>
        <v>-2802000</v>
      </c>
      <c r="G17" s="95"/>
      <c r="H17" s="95">
        <f>G6-H6</f>
        <v>2011500</v>
      </c>
      <c r="I17" s="95"/>
      <c r="J17" s="95">
        <f>I6-J6</f>
        <v>27934400</v>
      </c>
      <c r="K17" s="95"/>
      <c r="L17" s="95">
        <f>K6-L6</f>
        <v>112056000</v>
      </c>
      <c r="M17" s="94"/>
      <c r="N17" s="94"/>
    </row>
    <row r="18" spans="1:14" s="91" customFormat="1" x14ac:dyDescent="0.3">
      <c r="A18" s="85"/>
      <c r="B18" s="86" t="s">
        <v>137</v>
      </c>
      <c r="C18" s="93"/>
      <c r="D18" s="90">
        <f>D17/C6%</f>
        <v>-102.04722017897397</v>
      </c>
      <c r="E18" s="95"/>
      <c r="F18" s="95">
        <f>F17/E6%</f>
        <v>-25.815367606412384</v>
      </c>
      <c r="G18" s="95"/>
      <c r="H18" s="95">
        <f>H17/G6%</f>
        <v>5</v>
      </c>
      <c r="I18" s="95"/>
      <c r="J18" s="95">
        <f>J17/I6%</f>
        <v>13</v>
      </c>
      <c r="K18" s="95"/>
      <c r="L18" s="95">
        <f>L17/K6%</f>
        <v>16</v>
      </c>
      <c r="M18" s="94"/>
      <c r="N18" s="94"/>
    </row>
  </sheetData>
  <mergeCells count="6">
    <mergeCell ref="O4:P4"/>
    <mergeCell ref="C4:D4"/>
    <mergeCell ref="E4:F4"/>
    <mergeCell ref="G4:H4"/>
    <mergeCell ref="I4:J4"/>
    <mergeCell ref="A3:L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9"/>
  <sheetViews>
    <sheetView zoomScale="80" zoomScaleNormal="80" workbookViewId="0">
      <pane xSplit="2" ySplit="3" topLeftCell="C4" activePane="bottomRight" state="frozen"/>
      <selection pane="topRight" activeCell="C1" sqref="C1"/>
      <selection pane="bottomLeft" activeCell="A6" sqref="A6"/>
      <selection pane="bottomRight" activeCell="B4" sqref="B4:B5"/>
    </sheetView>
  </sheetViews>
  <sheetFormatPr defaultColWidth="8.77734375" defaultRowHeight="14.4" x14ac:dyDescent="0.3"/>
  <cols>
    <col min="1" max="1" width="7.109375" style="3" customWidth="1"/>
    <col min="2" max="2" width="19.109375" style="3" customWidth="1"/>
    <col min="3" max="3" width="12.21875" style="3" customWidth="1"/>
    <col min="4" max="4" width="15.21875" style="3" customWidth="1"/>
    <col min="5" max="5" width="17.109375" style="3" bestFit="1" customWidth="1"/>
    <col min="6" max="8" width="15.21875" style="3" customWidth="1"/>
    <col min="9" max="15" width="19.88671875" style="3" customWidth="1"/>
    <col min="16" max="16384" width="8.77734375" style="3"/>
  </cols>
  <sheetData>
    <row r="1" spans="1:15" ht="15.6" x14ac:dyDescent="0.3">
      <c r="A1" s="69" t="s">
        <v>25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</row>
    <row r="2" spans="1:15" ht="28.95" customHeight="1" x14ac:dyDescent="0.3">
      <c r="A2" s="43"/>
      <c r="B2" s="43"/>
      <c r="C2" s="43"/>
      <c r="D2" s="73" t="s">
        <v>3</v>
      </c>
      <c r="E2" s="73"/>
      <c r="F2" s="73"/>
      <c r="G2" s="73"/>
      <c r="H2" s="73"/>
      <c r="I2" s="73"/>
      <c r="J2" s="43"/>
      <c r="K2" s="43"/>
      <c r="L2" s="43"/>
      <c r="M2" s="43"/>
      <c r="N2" s="43"/>
      <c r="O2" s="43"/>
    </row>
    <row r="3" spans="1:15" s="6" customFormat="1" ht="46.8" x14ac:dyDescent="0.3">
      <c r="A3" s="30"/>
      <c r="B3" s="30" t="s">
        <v>3</v>
      </c>
      <c r="C3" s="30" t="s">
        <v>11</v>
      </c>
      <c r="D3" s="30" t="s">
        <v>112</v>
      </c>
      <c r="E3" s="30" t="s">
        <v>111</v>
      </c>
      <c r="F3" s="30" t="s">
        <v>12</v>
      </c>
      <c r="G3" s="30" t="s">
        <v>0</v>
      </c>
      <c r="H3" s="30" t="s">
        <v>2</v>
      </c>
      <c r="I3" s="30" t="s">
        <v>13</v>
      </c>
      <c r="J3" s="30" t="s">
        <v>14</v>
      </c>
      <c r="K3" s="30" t="s">
        <v>15</v>
      </c>
      <c r="L3" s="30" t="s">
        <v>16</v>
      </c>
      <c r="M3" s="30" t="s">
        <v>18</v>
      </c>
      <c r="N3" s="30" t="s">
        <v>96</v>
      </c>
      <c r="O3" s="30" t="s">
        <v>9</v>
      </c>
    </row>
    <row r="4" spans="1:15" ht="15.6" x14ac:dyDescent="0.3">
      <c r="A4" s="70">
        <v>1</v>
      </c>
      <c r="B4" s="70" t="s">
        <v>28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</row>
    <row r="5" spans="1:15" ht="15.6" x14ac:dyDescent="0.3">
      <c r="A5" s="71"/>
      <c r="B5" s="71"/>
      <c r="C5" s="43" t="s">
        <v>26</v>
      </c>
      <c r="D5" s="44"/>
      <c r="E5" s="44">
        <v>200</v>
      </c>
      <c r="F5" s="44"/>
      <c r="G5" s="44"/>
      <c r="H5" s="44"/>
      <c r="I5" s="44"/>
      <c r="J5" s="44">
        <v>1000</v>
      </c>
      <c r="K5" s="44"/>
      <c r="L5" s="44"/>
      <c r="M5" s="44"/>
      <c r="N5" s="44"/>
      <c r="O5" s="44">
        <v>3167192</v>
      </c>
    </row>
    <row r="6" spans="1:15" ht="15.6" x14ac:dyDescent="0.3">
      <c r="A6" s="45"/>
      <c r="B6" s="45"/>
      <c r="C6" s="45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</row>
    <row r="7" spans="1:15" ht="15.6" x14ac:dyDescent="0.3">
      <c r="A7" s="72">
        <v>2</v>
      </c>
      <c r="B7" s="72" t="s">
        <v>29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</row>
    <row r="8" spans="1:15" ht="15.6" x14ac:dyDescent="0.3">
      <c r="A8" s="72"/>
      <c r="B8" s="72"/>
      <c r="C8" s="43" t="s">
        <v>26</v>
      </c>
      <c r="D8" s="43"/>
      <c r="E8" s="43">
        <v>13</v>
      </c>
      <c r="F8" s="43"/>
      <c r="G8" s="43"/>
      <c r="H8" s="43"/>
      <c r="I8" s="43"/>
      <c r="J8" s="44">
        <v>1000</v>
      </c>
      <c r="K8" s="43"/>
      <c r="L8" s="43"/>
      <c r="M8" s="43"/>
      <c r="N8" s="43"/>
      <c r="O8" s="44">
        <v>33050</v>
      </c>
    </row>
    <row r="9" spans="1:15" s="6" customFormat="1" ht="15.6" x14ac:dyDescent="0.3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 t="s">
        <v>27</v>
      </c>
      <c r="O9" s="34">
        <f>SUM(O5:O8)</f>
        <v>3200242</v>
      </c>
    </row>
  </sheetData>
  <mergeCells count="6">
    <mergeCell ref="A1:O1"/>
    <mergeCell ref="B4:B5"/>
    <mergeCell ref="B7:B8"/>
    <mergeCell ref="A4:A5"/>
    <mergeCell ref="A7:A8"/>
    <mergeCell ref="D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8"/>
  <sheetViews>
    <sheetView zoomScale="70" zoomScaleNormal="70" workbookViewId="0">
      <pane ySplit="3" topLeftCell="A4" activePane="bottomLeft" state="frozen"/>
      <selection pane="bottomLeft" activeCell="B12" sqref="B12:B13"/>
    </sheetView>
  </sheetViews>
  <sheetFormatPr defaultColWidth="8.77734375" defaultRowHeight="14.4" x14ac:dyDescent="0.3"/>
  <cols>
    <col min="1" max="1" width="7.109375" style="3" customWidth="1"/>
    <col min="2" max="2" width="19.109375" style="3" customWidth="1"/>
    <col min="3" max="3" width="12.21875" style="3" customWidth="1"/>
    <col min="4" max="8" width="15.21875" style="3" customWidth="1"/>
    <col min="9" max="15" width="19.88671875" style="3" customWidth="1"/>
    <col min="16" max="16384" width="8.77734375" style="3"/>
  </cols>
  <sheetData>
    <row r="1" spans="1:15" ht="15.6" x14ac:dyDescent="0.3">
      <c r="A1" s="69" t="s">
        <v>4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</row>
    <row r="2" spans="1:15" s="4" customFormat="1" ht="33" customHeight="1" x14ac:dyDescent="0.3">
      <c r="A2" s="30"/>
      <c r="B2" s="30"/>
      <c r="C2" s="30"/>
      <c r="D2" s="73" t="s">
        <v>119</v>
      </c>
      <c r="E2" s="73"/>
      <c r="F2" s="73"/>
      <c r="G2" s="73"/>
      <c r="H2" s="73"/>
      <c r="I2" s="73"/>
      <c r="J2" s="30"/>
      <c r="K2" s="30"/>
      <c r="L2" s="30"/>
      <c r="M2" s="30"/>
      <c r="N2" s="30"/>
      <c r="O2" s="30"/>
    </row>
    <row r="3" spans="1:15" s="4" customFormat="1" ht="46.8" x14ac:dyDescent="0.3">
      <c r="A3" s="30"/>
      <c r="B3" s="30" t="s">
        <v>3</v>
      </c>
      <c r="C3" s="30" t="s">
        <v>11</v>
      </c>
      <c r="D3" s="30" t="s">
        <v>112</v>
      </c>
      <c r="E3" s="30" t="s">
        <v>111</v>
      </c>
      <c r="F3" s="30" t="s">
        <v>12</v>
      </c>
      <c r="G3" s="30" t="s">
        <v>0</v>
      </c>
      <c r="H3" s="30" t="s">
        <v>2</v>
      </c>
      <c r="I3" s="30" t="s">
        <v>13</v>
      </c>
      <c r="J3" s="30" t="s">
        <v>14</v>
      </c>
      <c r="K3" s="30" t="s">
        <v>15</v>
      </c>
      <c r="L3" s="30" t="s">
        <v>116</v>
      </c>
      <c r="M3" s="30" t="s">
        <v>18</v>
      </c>
      <c r="N3" s="30" t="s">
        <v>96</v>
      </c>
      <c r="O3" s="30" t="s">
        <v>9</v>
      </c>
    </row>
    <row r="4" spans="1:15" s="4" customFormat="1" ht="15.6" x14ac:dyDescent="0.3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</row>
    <row r="5" spans="1:15" ht="15.6" x14ac:dyDescent="0.3">
      <c r="A5" s="43">
        <v>1</v>
      </c>
      <c r="B5" s="43" t="s">
        <v>42</v>
      </c>
      <c r="C5" s="43" t="s">
        <v>26</v>
      </c>
      <c r="D5" s="44"/>
      <c r="E5" s="44">
        <v>500</v>
      </c>
      <c r="F5" s="44"/>
      <c r="G5" s="44"/>
      <c r="H5" s="44"/>
      <c r="I5" s="44"/>
      <c r="J5" s="44">
        <v>1000</v>
      </c>
      <c r="K5" s="44"/>
      <c r="L5" s="44"/>
      <c r="M5" s="44"/>
      <c r="N5" s="44"/>
      <c r="O5" s="44">
        <v>9449000</v>
      </c>
    </row>
    <row r="6" spans="1:15" ht="15.6" x14ac:dyDescent="0.3">
      <c r="A6" s="45"/>
      <c r="B6" s="45"/>
      <c r="C6" s="45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>
        <f>O5</f>
        <v>9449000</v>
      </c>
    </row>
    <row r="7" spans="1:15" ht="15.6" x14ac:dyDescent="0.3">
      <c r="A7" s="43">
        <v>2</v>
      </c>
      <c r="B7" s="43" t="s">
        <v>41</v>
      </c>
      <c r="C7" s="43" t="s">
        <v>26</v>
      </c>
      <c r="D7" s="42">
        <v>44</v>
      </c>
      <c r="E7" s="44"/>
      <c r="F7" s="44"/>
      <c r="G7" s="44"/>
      <c r="H7" s="44"/>
      <c r="I7" s="44">
        <v>1000</v>
      </c>
      <c r="J7" s="43"/>
      <c r="K7" s="44"/>
      <c r="L7" s="44"/>
      <c r="M7" s="44"/>
      <c r="N7" s="44"/>
      <c r="O7" s="44">
        <v>76000</v>
      </c>
    </row>
    <row r="8" spans="1:15" ht="15.6" x14ac:dyDescent="0.3">
      <c r="A8" s="45"/>
      <c r="B8" s="45"/>
      <c r="C8" s="45"/>
      <c r="D8" s="46"/>
      <c r="E8" s="46"/>
      <c r="F8" s="46"/>
      <c r="G8" s="46"/>
      <c r="H8" s="46"/>
      <c r="I8" s="46"/>
      <c r="J8" s="45"/>
      <c r="K8" s="46"/>
      <c r="L8" s="46"/>
      <c r="M8" s="46"/>
      <c r="N8" s="46"/>
      <c r="O8" s="46">
        <f>O7</f>
        <v>76000</v>
      </c>
    </row>
    <row r="9" spans="1:15" ht="15.6" x14ac:dyDescent="0.3">
      <c r="A9" s="43">
        <v>3</v>
      </c>
      <c r="B9" s="72" t="s">
        <v>30</v>
      </c>
      <c r="C9" s="43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</row>
    <row r="10" spans="1:15" ht="15.6" x14ac:dyDescent="0.3">
      <c r="A10" s="43"/>
      <c r="B10" s="72"/>
      <c r="C10" s="43" t="s">
        <v>26</v>
      </c>
      <c r="D10" s="43"/>
      <c r="E10" s="44"/>
      <c r="F10" s="44"/>
      <c r="G10" s="44">
        <v>1</v>
      </c>
      <c r="H10" s="44"/>
      <c r="I10" s="44"/>
      <c r="J10" s="44"/>
      <c r="K10" s="44"/>
      <c r="L10" s="44">
        <v>300</v>
      </c>
      <c r="M10" s="44"/>
      <c r="N10" s="44"/>
      <c r="O10" s="44">
        <v>39000</v>
      </c>
    </row>
    <row r="11" spans="1:15" ht="15.6" x14ac:dyDescent="0.3">
      <c r="A11" s="45"/>
      <c r="B11" s="45"/>
      <c r="C11" s="45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>
        <f>O10</f>
        <v>39000</v>
      </c>
    </row>
    <row r="12" spans="1:15" ht="15.6" x14ac:dyDescent="0.3">
      <c r="A12" s="43">
        <v>4</v>
      </c>
      <c r="B12" s="72" t="s">
        <v>31</v>
      </c>
      <c r="C12" s="43" t="s">
        <v>26</v>
      </c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</row>
    <row r="13" spans="1:15" ht="15.6" x14ac:dyDescent="0.3">
      <c r="A13" s="43"/>
      <c r="B13" s="72"/>
      <c r="C13" s="43" t="s">
        <v>7</v>
      </c>
      <c r="D13" s="43"/>
      <c r="E13" s="43"/>
      <c r="F13" s="43"/>
      <c r="G13" s="43"/>
      <c r="H13" s="43">
        <v>11</v>
      </c>
      <c r="I13" s="43"/>
      <c r="J13" s="43"/>
      <c r="K13" s="43"/>
      <c r="L13" s="43"/>
      <c r="M13" s="47">
        <v>1290000</v>
      </c>
      <c r="N13" s="43"/>
      <c r="O13" s="44">
        <v>1290000</v>
      </c>
    </row>
    <row r="14" spans="1:15" ht="15.6" x14ac:dyDescent="0.3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7"/>
      <c r="N14" s="43"/>
      <c r="O14" s="44">
        <f>O13</f>
        <v>1290000</v>
      </c>
    </row>
    <row r="15" spans="1:15" ht="15.6" x14ac:dyDescent="0.3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8" t="s">
        <v>35</v>
      </c>
      <c r="O15" s="49">
        <f>O14+O11+O8+O6</f>
        <v>10854000</v>
      </c>
    </row>
    <row r="16" spans="1:15" x14ac:dyDescent="0.3">
      <c r="N16" s="8"/>
      <c r="O16" s="8"/>
    </row>
    <row r="17" spans="14:15" x14ac:dyDescent="0.3">
      <c r="N17" s="8"/>
      <c r="O17" s="8"/>
    </row>
    <row r="18" spans="14:15" x14ac:dyDescent="0.3">
      <c r="O18" s="5"/>
    </row>
  </sheetData>
  <mergeCells count="4">
    <mergeCell ref="A1:O1"/>
    <mergeCell ref="B9:B10"/>
    <mergeCell ref="B12:B13"/>
    <mergeCell ref="D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35"/>
  <sheetViews>
    <sheetView zoomScale="70" zoomScaleNormal="70" workbookViewId="0">
      <pane ySplit="3" topLeftCell="A4" activePane="bottomLeft" state="frozen"/>
      <selection pane="bottomLeft" activeCell="B17" sqref="B17:B20"/>
    </sheetView>
  </sheetViews>
  <sheetFormatPr defaultColWidth="8.77734375" defaultRowHeight="14.4" x14ac:dyDescent="0.3"/>
  <cols>
    <col min="1" max="1" width="7.109375" style="3" customWidth="1"/>
    <col min="2" max="2" width="19.109375" style="3" customWidth="1"/>
    <col min="3" max="3" width="21.33203125" style="3" bestFit="1" customWidth="1"/>
    <col min="4" max="4" width="15.21875" style="3" customWidth="1"/>
    <col min="5" max="5" width="19.6640625" style="3" customWidth="1"/>
    <col min="6" max="8" width="15.21875" style="3" customWidth="1"/>
    <col min="9" max="15" width="19.88671875" style="3" customWidth="1"/>
    <col min="16" max="16384" width="8.77734375" style="3"/>
  </cols>
  <sheetData>
    <row r="1" spans="1:16" ht="18" customHeight="1" x14ac:dyDescent="0.3">
      <c r="A1" s="75" t="s">
        <v>19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50"/>
    </row>
    <row r="2" spans="1:16" s="4" customFormat="1" ht="18" customHeight="1" x14ac:dyDescent="0.3">
      <c r="A2" s="41"/>
      <c r="B2" s="41"/>
      <c r="C2" s="41"/>
      <c r="D2" s="76" t="s">
        <v>119</v>
      </c>
      <c r="E2" s="77"/>
      <c r="F2" s="77"/>
      <c r="G2" s="77"/>
      <c r="H2" s="78"/>
      <c r="I2" s="58"/>
      <c r="J2" s="41"/>
      <c r="K2" s="41"/>
      <c r="L2" s="41"/>
      <c r="M2" s="41"/>
      <c r="N2" s="41"/>
      <c r="O2" s="41"/>
    </row>
    <row r="3" spans="1:16" s="6" customFormat="1" ht="46.8" x14ac:dyDescent="0.3">
      <c r="A3" s="30"/>
      <c r="B3" s="30" t="s">
        <v>3</v>
      </c>
      <c r="C3" s="30" t="s">
        <v>11</v>
      </c>
      <c r="D3" s="30" t="s">
        <v>110</v>
      </c>
      <c r="E3" s="30" t="s">
        <v>111</v>
      </c>
      <c r="F3" s="30" t="s">
        <v>12</v>
      </c>
      <c r="G3" s="30" t="s">
        <v>0</v>
      </c>
      <c r="H3" s="30" t="s">
        <v>136</v>
      </c>
      <c r="I3" s="30" t="s">
        <v>13</v>
      </c>
      <c r="J3" s="30" t="s">
        <v>14</v>
      </c>
      <c r="K3" s="30" t="s">
        <v>15</v>
      </c>
      <c r="L3" s="30" t="s">
        <v>116</v>
      </c>
      <c r="M3" s="30" t="s">
        <v>38</v>
      </c>
      <c r="N3" s="30" t="s">
        <v>120</v>
      </c>
      <c r="O3" s="30" t="s">
        <v>39</v>
      </c>
    </row>
    <row r="4" spans="1:16" s="6" customFormat="1" ht="15.6" x14ac:dyDescent="0.3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</row>
    <row r="5" spans="1:16" x14ac:dyDescent="0.3">
      <c r="A5" s="29">
        <v>1</v>
      </c>
      <c r="B5" s="74" t="s">
        <v>42</v>
      </c>
      <c r="C5" s="29" t="s">
        <v>26</v>
      </c>
      <c r="D5" s="31"/>
      <c r="E5" s="31">
        <v>450</v>
      </c>
      <c r="F5" s="31"/>
      <c r="G5" s="31"/>
      <c r="H5" s="31"/>
      <c r="I5" s="31"/>
      <c r="J5" s="31">
        <v>1200</v>
      </c>
      <c r="K5" s="31"/>
      <c r="L5" s="31"/>
      <c r="M5" s="31"/>
      <c r="N5" s="31"/>
      <c r="O5" s="31">
        <f>(E5*2/100)*J5*25*10</f>
        <v>2700000</v>
      </c>
    </row>
    <row r="6" spans="1:16" x14ac:dyDescent="0.3">
      <c r="A6" s="29"/>
      <c r="B6" s="74"/>
      <c r="C6" s="29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>
        <f>(E6*2/100)*J6*25*3</f>
        <v>0</v>
      </c>
    </row>
    <row r="7" spans="1:16" x14ac:dyDescent="0.3">
      <c r="A7" s="32"/>
      <c r="B7" s="32"/>
      <c r="C7" s="32"/>
      <c r="D7" s="32"/>
      <c r="E7" s="33"/>
      <c r="F7" s="33"/>
      <c r="G7" s="33"/>
      <c r="H7" s="33"/>
      <c r="I7" s="33"/>
      <c r="J7" s="33"/>
      <c r="K7" s="33"/>
      <c r="L7" s="33"/>
      <c r="M7" s="33"/>
      <c r="N7" s="33"/>
      <c r="O7" s="33">
        <f>SUM(O5:O6)</f>
        <v>2700000</v>
      </c>
    </row>
    <row r="8" spans="1:16" ht="15.6" x14ac:dyDescent="0.3">
      <c r="A8" s="29">
        <v>2</v>
      </c>
      <c r="B8" s="74" t="s">
        <v>29</v>
      </c>
      <c r="C8" s="29" t="s">
        <v>26</v>
      </c>
      <c r="D8" s="42">
        <v>10</v>
      </c>
      <c r="E8" s="31"/>
      <c r="F8" s="31"/>
      <c r="G8" s="31"/>
      <c r="H8" s="31"/>
      <c r="I8" s="31">
        <v>450000</v>
      </c>
      <c r="J8" s="29"/>
      <c r="K8" s="31"/>
      <c r="L8" s="31"/>
      <c r="M8" s="31"/>
      <c r="N8" s="31"/>
      <c r="O8" s="31">
        <f>I8*D8*6</f>
        <v>27000000</v>
      </c>
    </row>
    <row r="9" spans="1:16" ht="15.6" x14ac:dyDescent="0.3">
      <c r="A9" s="29"/>
      <c r="B9" s="74"/>
      <c r="C9" s="29" t="s">
        <v>26</v>
      </c>
      <c r="D9" s="42">
        <v>50</v>
      </c>
      <c r="E9" s="31"/>
      <c r="F9" s="31"/>
      <c r="G9" s="31"/>
      <c r="H9" s="31"/>
      <c r="I9" s="31">
        <v>1500</v>
      </c>
      <c r="J9" s="29"/>
      <c r="K9" s="31"/>
      <c r="L9" s="31"/>
      <c r="M9" s="31"/>
      <c r="N9" s="31"/>
      <c r="O9" s="31">
        <f>I9*D9*6</f>
        <v>450000</v>
      </c>
    </row>
    <row r="10" spans="1:16" x14ac:dyDescent="0.3">
      <c r="A10" s="29"/>
      <c r="B10" s="74"/>
      <c r="C10" s="29" t="s">
        <v>20</v>
      </c>
      <c r="D10" s="31">
        <v>0</v>
      </c>
      <c r="E10" s="31"/>
      <c r="F10" s="31"/>
      <c r="G10" s="31"/>
      <c r="H10" s="31"/>
      <c r="I10" s="31">
        <v>500000</v>
      </c>
      <c r="J10" s="29"/>
      <c r="K10" s="31"/>
      <c r="L10" s="31"/>
      <c r="M10" s="31"/>
      <c r="N10" s="31"/>
      <c r="O10" s="31">
        <f>I10*D10*3</f>
        <v>0</v>
      </c>
    </row>
    <row r="11" spans="1:16" x14ac:dyDescent="0.3">
      <c r="A11" s="29"/>
      <c r="B11" s="74"/>
      <c r="C11" s="29" t="s">
        <v>37</v>
      </c>
      <c r="D11" s="31">
        <v>0</v>
      </c>
      <c r="E11" s="31"/>
      <c r="F11" s="31"/>
      <c r="G11" s="31"/>
      <c r="H11" s="31"/>
      <c r="I11" s="31">
        <v>500000</v>
      </c>
      <c r="J11" s="29"/>
      <c r="K11" s="31"/>
      <c r="L11" s="31"/>
      <c r="M11" s="31"/>
      <c r="N11" s="31"/>
      <c r="O11" s="31">
        <f>I11*D11*3</f>
        <v>0</v>
      </c>
    </row>
    <row r="12" spans="1:16" x14ac:dyDescent="0.3">
      <c r="A12" s="32"/>
      <c r="B12" s="32"/>
      <c r="C12" s="32"/>
      <c r="D12" s="33"/>
      <c r="E12" s="33"/>
      <c r="F12" s="33"/>
      <c r="G12" s="33"/>
      <c r="H12" s="33"/>
      <c r="I12" s="33"/>
      <c r="J12" s="32"/>
      <c r="K12" s="33"/>
      <c r="L12" s="33"/>
      <c r="M12" s="33"/>
      <c r="N12" s="33"/>
      <c r="O12" s="33">
        <f>SUM(O8:O11)</f>
        <v>27450000</v>
      </c>
    </row>
    <row r="13" spans="1:16" x14ac:dyDescent="0.3">
      <c r="A13" s="29">
        <v>3</v>
      </c>
      <c r="B13" s="29" t="s">
        <v>0</v>
      </c>
      <c r="C13" s="29" t="s">
        <v>26</v>
      </c>
      <c r="D13" s="29"/>
      <c r="E13" s="31"/>
      <c r="F13" s="31"/>
      <c r="G13" s="31">
        <v>1</v>
      </c>
      <c r="H13" s="31"/>
      <c r="I13" s="31"/>
      <c r="J13" s="31"/>
      <c r="K13" s="31"/>
      <c r="L13" s="31">
        <v>300</v>
      </c>
      <c r="M13" s="31"/>
      <c r="N13" s="31"/>
      <c r="O13" s="31">
        <f>L13*G13*200*6</f>
        <v>360000</v>
      </c>
    </row>
    <row r="14" spans="1:16" x14ac:dyDescent="0.3">
      <c r="A14" s="32"/>
      <c r="B14" s="32"/>
      <c r="C14" s="32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>
        <f>SUM(O13:O13)</f>
        <v>360000</v>
      </c>
    </row>
    <row r="15" spans="1:16" x14ac:dyDescent="0.3">
      <c r="A15" s="29">
        <v>4</v>
      </c>
      <c r="B15" s="96" t="s">
        <v>32</v>
      </c>
      <c r="C15" s="29" t="s">
        <v>26</v>
      </c>
      <c r="D15" s="29"/>
      <c r="E15" s="31"/>
      <c r="F15" s="31">
        <v>2</v>
      </c>
      <c r="G15" s="31"/>
      <c r="H15" s="31"/>
      <c r="I15" s="31"/>
      <c r="J15" s="31"/>
      <c r="K15" s="31">
        <v>100000</v>
      </c>
      <c r="L15" s="31"/>
      <c r="M15" s="31"/>
      <c r="N15" s="31"/>
      <c r="O15" s="31">
        <f>K15*F15*3</f>
        <v>600000</v>
      </c>
    </row>
    <row r="16" spans="1:16" x14ac:dyDescent="0.3">
      <c r="A16" s="32"/>
      <c r="B16" s="96"/>
      <c r="C16" s="32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>
        <f>SUM(O15:O15)</f>
        <v>600000</v>
      </c>
    </row>
    <row r="17" spans="1:20" x14ac:dyDescent="0.3">
      <c r="A17" s="29">
        <v>5</v>
      </c>
      <c r="B17" s="97" t="s">
        <v>123</v>
      </c>
      <c r="C17" s="29" t="s">
        <v>26</v>
      </c>
      <c r="D17" s="29"/>
      <c r="E17" s="31"/>
      <c r="F17" s="31"/>
      <c r="G17" s="31"/>
      <c r="H17" s="31">
        <v>100</v>
      </c>
      <c r="I17" s="31"/>
      <c r="J17" s="31"/>
      <c r="K17" s="31"/>
      <c r="L17" s="31"/>
      <c r="M17" s="31">
        <v>70000</v>
      </c>
      <c r="N17" s="31"/>
      <c r="O17" s="31">
        <f>M17*H17</f>
        <v>7000000</v>
      </c>
    </row>
    <row r="18" spans="1:20" x14ac:dyDescent="0.3">
      <c r="A18" s="29"/>
      <c r="B18" s="97"/>
      <c r="C18" s="29" t="s">
        <v>7</v>
      </c>
      <c r="D18" s="29"/>
      <c r="E18" s="31"/>
      <c r="F18" s="31"/>
      <c r="G18" s="31"/>
      <c r="H18" s="31">
        <v>0</v>
      </c>
      <c r="I18" s="31"/>
      <c r="J18" s="31"/>
      <c r="K18" s="31"/>
      <c r="L18" s="31"/>
      <c r="M18" s="31">
        <v>70000</v>
      </c>
      <c r="N18" s="31"/>
      <c r="O18" s="31">
        <f t="shared" ref="O18:O20" si="0">M18*H18</f>
        <v>0</v>
      </c>
    </row>
    <row r="19" spans="1:20" x14ac:dyDescent="0.3">
      <c r="A19" s="29"/>
      <c r="B19" s="97"/>
      <c r="C19" s="29" t="s">
        <v>36</v>
      </c>
      <c r="D19" s="29"/>
      <c r="E19" s="29"/>
      <c r="F19" s="29"/>
      <c r="G19" s="29"/>
      <c r="H19" s="29">
        <v>0</v>
      </c>
      <c r="I19" s="29"/>
      <c r="J19" s="29"/>
      <c r="K19" s="29"/>
      <c r="L19" s="29"/>
      <c r="M19" s="31">
        <v>70000</v>
      </c>
      <c r="N19" s="29"/>
      <c r="O19" s="31">
        <f t="shared" si="0"/>
        <v>0</v>
      </c>
    </row>
    <row r="20" spans="1:20" x14ac:dyDescent="0.3">
      <c r="A20" s="29"/>
      <c r="B20" s="97"/>
      <c r="C20" s="29" t="s">
        <v>37</v>
      </c>
      <c r="D20" s="29"/>
      <c r="E20" s="29"/>
      <c r="F20" s="29"/>
      <c r="G20" s="29"/>
      <c r="H20" s="29">
        <v>0</v>
      </c>
      <c r="I20" s="29"/>
      <c r="J20" s="29"/>
      <c r="K20" s="29"/>
      <c r="L20" s="29"/>
      <c r="M20" s="31">
        <v>70000</v>
      </c>
      <c r="N20" s="29"/>
      <c r="O20" s="31">
        <f t="shared" si="0"/>
        <v>0</v>
      </c>
    </row>
    <row r="21" spans="1:20" x14ac:dyDescent="0.3">
      <c r="A21" s="32"/>
      <c r="B21" s="96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3">
        <f>SUM(O17:O20)</f>
        <v>7000000</v>
      </c>
    </row>
    <row r="22" spans="1:20" ht="28.8" x14ac:dyDescent="0.3">
      <c r="A22" s="29">
        <v>6</v>
      </c>
      <c r="B22" s="96" t="s">
        <v>135</v>
      </c>
      <c r="C22" s="29" t="s">
        <v>114</v>
      </c>
      <c r="D22" s="29"/>
      <c r="E22" s="29"/>
      <c r="F22" s="29"/>
      <c r="G22" s="29"/>
      <c r="H22" s="29">
        <v>2</v>
      </c>
      <c r="I22" s="29"/>
      <c r="J22" s="29"/>
      <c r="K22" s="31"/>
      <c r="L22" s="31"/>
      <c r="M22" s="31">
        <v>430000</v>
      </c>
      <c r="N22" s="31"/>
      <c r="O22" s="31">
        <f>M22*H22*2</f>
        <v>1720000</v>
      </c>
    </row>
    <row r="23" spans="1:20" x14ac:dyDescent="0.3">
      <c r="A23" s="32"/>
      <c r="B23" s="96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3">
        <f>SUM(O22:O22)</f>
        <v>1720000</v>
      </c>
    </row>
    <row r="24" spans="1:20" ht="28.8" customHeight="1" x14ac:dyDescent="0.3">
      <c r="A24" s="29">
        <v>7</v>
      </c>
      <c r="B24" s="96" t="s">
        <v>43</v>
      </c>
      <c r="C24" s="29" t="s">
        <v>6</v>
      </c>
      <c r="D24" s="29">
        <v>0</v>
      </c>
      <c r="E24" s="29"/>
      <c r="F24" s="29"/>
      <c r="G24" s="29"/>
      <c r="H24" s="29"/>
      <c r="I24" s="29"/>
      <c r="J24" s="31">
        <v>1200</v>
      </c>
      <c r="K24" s="51"/>
      <c r="L24" s="51"/>
      <c r="M24" s="51"/>
      <c r="N24" s="51"/>
      <c r="O24" s="31">
        <f>J24*D24*900*2</f>
        <v>0</v>
      </c>
    </row>
    <row r="25" spans="1:20" x14ac:dyDescent="0.3">
      <c r="A25" s="32"/>
      <c r="B25" s="96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3">
        <f>SUM(O24:O24)</f>
        <v>0</v>
      </c>
    </row>
    <row r="26" spans="1:20" x14ac:dyDescent="0.3">
      <c r="A26" s="29">
        <v>8</v>
      </c>
      <c r="B26" s="97" t="s">
        <v>33</v>
      </c>
      <c r="C26" s="29" t="s">
        <v>26</v>
      </c>
      <c r="D26" s="29">
        <v>2</v>
      </c>
      <c r="E26" s="29"/>
      <c r="F26" s="29"/>
      <c r="G26" s="29"/>
      <c r="H26" s="29"/>
      <c r="I26" s="29"/>
      <c r="J26" s="29"/>
      <c r="K26" s="29"/>
      <c r="L26" s="29"/>
      <c r="M26" s="29"/>
      <c r="N26" s="51">
        <v>200000</v>
      </c>
      <c r="O26" s="51">
        <f>N26*D26</f>
        <v>400000</v>
      </c>
    </row>
    <row r="27" spans="1:20" x14ac:dyDescent="0.3">
      <c r="A27" s="29"/>
      <c r="B27" s="97"/>
      <c r="C27" s="29" t="s">
        <v>7</v>
      </c>
      <c r="D27" s="29">
        <v>0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</row>
    <row r="28" spans="1:20" x14ac:dyDescent="0.3">
      <c r="A28" s="29"/>
      <c r="B28" s="97"/>
      <c r="C28" s="29" t="s">
        <v>36</v>
      </c>
      <c r="D28" s="29">
        <v>0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20" x14ac:dyDescent="0.3">
      <c r="A29" s="29"/>
      <c r="B29" s="97"/>
      <c r="C29" s="29" t="s">
        <v>37</v>
      </c>
      <c r="D29" s="29">
        <v>0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20" s="13" customFormat="1" x14ac:dyDescent="0.3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3">
        <f>SUM(O26:O29)</f>
        <v>400000</v>
      </c>
      <c r="P30" s="3"/>
      <c r="Q30" s="3"/>
      <c r="R30" s="3"/>
      <c r="S30" s="3"/>
      <c r="T30" s="3"/>
    </row>
    <row r="31" spans="1:20" x14ac:dyDescent="0.3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20" ht="15.6" x14ac:dyDescent="0.3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48" t="s">
        <v>1</v>
      </c>
      <c r="O32" s="49">
        <f>O30+O25+O23+O21+O16+O14+O12+O7</f>
        <v>40230000</v>
      </c>
    </row>
    <row r="33" spans="14:15" x14ac:dyDescent="0.3">
      <c r="N33" s="7"/>
      <c r="O33" s="7"/>
    </row>
    <row r="34" spans="14:15" ht="15" thickBot="1" x14ac:dyDescent="0.35">
      <c r="N34" s="9"/>
      <c r="O34" s="9"/>
    </row>
    <row r="35" spans="14:15" ht="15" thickTop="1" x14ac:dyDescent="0.3">
      <c r="O35" s="5"/>
    </row>
  </sheetData>
  <mergeCells count="6">
    <mergeCell ref="B5:B6"/>
    <mergeCell ref="B26:B29"/>
    <mergeCell ref="B17:B20"/>
    <mergeCell ref="B8:B11"/>
    <mergeCell ref="A1:O1"/>
    <mergeCell ref="D2:H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42"/>
  <sheetViews>
    <sheetView zoomScale="80" zoomScaleNormal="80" workbookViewId="0">
      <pane ySplit="5" topLeftCell="A16" activePane="bottomLeft" state="frozen"/>
      <selection activeCell="B1" sqref="B1"/>
      <selection pane="bottomLeft" activeCell="B28" sqref="B28"/>
    </sheetView>
  </sheetViews>
  <sheetFormatPr defaultColWidth="8.77734375" defaultRowHeight="14.4" x14ac:dyDescent="0.3"/>
  <cols>
    <col min="1" max="1" width="7.109375" style="3" customWidth="1"/>
    <col min="2" max="3" width="19.109375" style="3" customWidth="1"/>
    <col min="4" max="4" width="15.109375" style="3" bestFit="1" customWidth="1"/>
    <col min="5" max="8" width="15.21875" style="3" customWidth="1"/>
    <col min="9" max="15" width="19.88671875" style="3" customWidth="1"/>
    <col min="16" max="16384" width="8.77734375" style="3"/>
  </cols>
  <sheetData>
    <row r="1" spans="1:15" ht="18" x14ac:dyDescent="0.3">
      <c r="A1" s="79" t="s">
        <v>23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</row>
    <row r="2" spans="1:15" ht="18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5" ht="18" x14ac:dyDescent="0.3">
      <c r="A3" s="39"/>
      <c r="B3" s="39"/>
      <c r="C3" s="39"/>
      <c r="D3" s="73" t="s">
        <v>119</v>
      </c>
      <c r="E3" s="73"/>
      <c r="F3" s="73"/>
      <c r="G3" s="73"/>
      <c r="H3" s="73"/>
      <c r="I3" s="73"/>
      <c r="J3" s="39"/>
      <c r="K3" s="39"/>
      <c r="L3" s="39"/>
      <c r="M3" s="39"/>
      <c r="N3" s="39"/>
      <c r="O3" s="39"/>
    </row>
    <row r="4" spans="1:15" s="4" customFormat="1" x14ac:dyDescent="0.3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</row>
    <row r="5" spans="1:15" s="6" customFormat="1" ht="46.8" x14ac:dyDescent="0.3">
      <c r="A5" s="30"/>
      <c r="B5" s="30" t="s">
        <v>3</v>
      </c>
      <c r="C5" s="30" t="s">
        <v>11</v>
      </c>
      <c r="D5" s="30" t="s">
        <v>112</v>
      </c>
      <c r="E5" s="30" t="s">
        <v>111</v>
      </c>
      <c r="F5" s="30" t="s">
        <v>12</v>
      </c>
      <c r="G5" s="30" t="s">
        <v>0</v>
      </c>
      <c r="H5" s="30" t="s">
        <v>2</v>
      </c>
      <c r="I5" s="30" t="s">
        <v>13</v>
      </c>
      <c r="J5" s="30" t="s">
        <v>14</v>
      </c>
      <c r="K5" s="30" t="s">
        <v>15</v>
      </c>
      <c r="L5" s="30" t="s">
        <v>118</v>
      </c>
      <c r="M5" s="30" t="s">
        <v>116</v>
      </c>
      <c r="N5" s="30" t="s">
        <v>38</v>
      </c>
      <c r="O5" s="30" t="s">
        <v>39</v>
      </c>
    </row>
    <row r="6" spans="1:15" s="6" customFormat="1" ht="15.6" x14ac:dyDescent="0.3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</row>
    <row r="7" spans="1:15" x14ac:dyDescent="0.3">
      <c r="A7" s="29">
        <v>1</v>
      </c>
      <c r="B7" s="80" t="s">
        <v>42</v>
      </c>
      <c r="C7" s="29" t="s">
        <v>26</v>
      </c>
      <c r="D7" s="31"/>
      <c r="E7" s="31">
        <v>1000</v>
      </c>
      <c r="F7" s="31"/>
      <c r="G7" s="31"/>
      <c r="H7" s="31"/>
      <c r="I7" s="31"/>
      <c r="J7" s="31">
        <v>1200</v>
      </c>
      <c r="K7" s="31"/>
      <c r="L7" s="31"/>
      <c r="M7" s="31"/>
      <c r="N7" s="31"/>
      <c r="O7" s="31">
        <f t="shared" ref="O7:O11" si="0">(E7*2/100)*J7*25*12</f>
        <v>7200000</v>
      </c>
    </row>
    <row r="8" spans="1:15" x14ac:dyDescent="0.3">
      <c r="A8" s="29"/>
      <c r="B8" s="80"/>
      <c r="C8" s="29" t="s">
        <v>7</v>
      </c>
      <c r="D8" s="31"/>
      <c r="E8" s="31">
        <v>250</v>
      </c>
      <c r="F8" s="31"/>
      <c r="G8" s="31"/>
      <c r="H8" s="31"/>
      <c r="I8" s="31"/>
      <c r="J8" s="31">
        <v>1200</v>
      </c>
      <c r="K8" s="31"/>
      <c r="L8" s="31"/>
      <c r="M8" s="31"/>
      <c r="N8" s="31"/>
      <c r="O8" s="31">
        <f t="shared" si="0"/>
        <v>1800000</v>
      </c>
    </row>
    <row r="9" spans="1:15" x14ac:dyDescent="0.3">
      <c r="A9" s="29"/>
      <c r="B9" s="80"/>
      <c r="C9" s="29" t="s">
        <v>36</v>
      </c>
      <c r="D9" s="29"/>
      <c r="E9" s="31">
        <v>250</v>
      </c>
      <c r="F9" s="31"/>
      <c r="G9" s="31"/>
      <c r="H9" s="31"/>
      <c r="I9" s="31"/>
      <c r="J9" s="31">
        <v>1200</v>
      </c>
      <c r="K9" s="31"/>
      <c r="L9" s="31"/>
      <c r="M9" s="31"/>
      <c r="N9" s="31"/>
      <c r="O9" s="31">
        <f t="shared" si="0"/>
        <v>1800000</v>
      </c>
    </row>
    <row r="10" spans="1:15" x14ac:dyDescent="0.3">
      <c r="A10" s="29"/>
      <c r="B10" s="80"/>
      <c r="C10" s="29" t="s">
        <v>20</v>
      </c>
      <c r="D10" s="29"/>
      <c r="E10" s="31">
        <v>250</v>
      </c>
      <c r="F10" s="31"/>
      <c r="G10" s="31"/>
      <c r="H10" s="31"/>
      <c r="I10" s="31"/>
      <c r="J10" s="31">
        <v>1200</v>
      </c>
      <c r="K10" s="31"/>
      <c r="L10" s="31"/>
      <c r="M10" s="31"/>
      <c r="N10" s="31"/>
      <c r="O10" s="31">
        <f t="shared" si="0"/>
        <v>1800000</v>
      </c>
    </row>
    <row r="11" spans="1:15" x14ac:dyDescent="0.3">
      <c r="A11" s="29"/>
      <c r="B11" s="80"/>
      <c r="C11" s="29" t="s">
        <v>10</v>
      </c>
      <c r="D11" s="29"/>
      <c r="E11" s="31">
        <v>250</v>
      </c>
      <c r="F11" s="31"/>
      <c r="G11" s="31"/>
      <c r="H11" s="31"/>
      <c r="I11" s="31"/>
      <c r="J11" s="31">
        <v>1200</v>
      </c>
      <c r="K11" s="31"/>
      <c r="L11" s="31"/>
      <c r="M11" s="31"/>
      <c r="N11" s="31"/>
      <c r="O11" s="31">
        <f t="shared" si="0"/>
        <v>1800000</v>
      </c>
    </row>
    <row r="12" spans="1:15" x14ac:dyDescent="0.3">
      <c r="A12" s="32"/>
      <c r="B12" s="32"/>
      <c r="C12" s="32"/>
      <c r="D12" s="32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>
        <f>SUM(O7:O11)</f>
        <v>14400000</v>
      </c>
    </row>
    <row r="13" spans="1:15" ht="15.6" x14ac:dyDescent="0.3">
      <c r="A13" s="29">
        <v>2</v>
      </c>
      <c r="B13" s="74" t="s">
        <v>41</v>
      </c>
      <c r="C13" s="29" t="s">
        <v>26</v>
      </c>
      <c r="D13" s="42">
        <v>15</v>
      </c>
      <c r="E13" s="31"/>
      <c r="F13" s="31"/>
      <c r="G13" s="31"/>
      <c r="H13" s="31"/>
      <c r="I13" s="31">
        <v>450000</v>
      </c>
      <c r="J13" s="29"/>
      <c r="K13" s="31"/>
      <c r="L13" s="31"/>
      <c r="M13" s="31"/>
      <c r="N13" s="31"/>
      <c r="O13" s="31">
        <f>I13*D13*12</f>
        <v>81000000</v>
      </c>
    </row>
    <row r="14" spans="1:15" x14ac:dyDescent="0.3">
      <c r="A14" s="29"/>
      <c r="B14" s="74"/>
      <c r="C14" s="29" t="s">
        <v>26</v>
      </c>
      <c r="D14" s="31">
        <v>100</v>
      </c>
      <c r="E14" s="31"/>
      <c r="F14" s="31"/>
      <c r="G14" s="31"/>
      <c r="H14" s="31"/>
      <c r="I14" s="31">
        <v>1500</v>
      </c>
      <c r="J14" s="29"/>
      <c r="K14" s="31"/>
      <c r="L14" s="31"/>
      <c r="M14" s="31"/>
      <c r="N14" s="31"/>
      <c r="O14" s="31">
        <f>I14*D14*12</f>
        <v>1800000</v>
      </c>
    </row>
    <row r="15" spans="1:15" x14ac:dyDescent="0.3">
      <c r="A15" s="29"/>
      <c r="B15" s="74"/>
      <c r="C15" s="29" t="s">
        <v>37</v>
      </c>
      <c r="D15" s="31">
        <v>2</v>
      </c>
      <c r="E15" s="31"/>
      <c r="F15" s="31"/>
      <c r="G15" s="31"/>
      <c r="H15" s="31"/>
      <c r="I15" s="31">
        <v>450000</v>
      </c>
      <c r="J15" s="29"/>
      <c r="K15" s="31"/>
      <c r="L15" s="31"/>
      <c r="M15" s="31"/>
      <c r="N15" s="31"/>
      <c r="O15" s="31">
        <f>I15*D15*10</f>
        <v>9000000</v>
      </c>
    </row>
    <row r="16" spans="1:15" x14ac:dyDescent="0.3">
      <c r="A16" s="29"/>
      <c r="B16" s="74"/>
      <c r="C16" s="29" t="s">
        <v>20</v>
      </c>
      <c r="D16" s="31">
        <v>2</v>
      </c>
      <c r="E16" s="31"/>
      <c r="F16" s="31"/>
      <c r="G16" s="31"/>
      <c r="H16" s="31"/>
      <c r="I16" s="31">
        <v>500000</v>
      </c>
      <c r="J16" s="29"/>
      <c r="K16" s="31"/>
      <c r="L16" s="31"/>
      <c r="M16" s="31"/>
      <c r="N16" s="31"/>
      <c r="O16" s="31">
        <f>I16*D16*12</f>
        <v>12000000</v>
      </c>
    </row>
    <row r="17" spans="1:15" x14ac:dyDescent="0.3">
      <c r="A17" s="32"/>
      <c r="B17" s="32"/>
      <c r="C17" s="32"/>
      <c r="D17" s="33"/>
      <c r="E17" s="33"/>
      <c r="F17" s="33"/>
      <c r="G17" s="33"/>
      <c r="H17" s="33"/>
      <c r="I17" s="33"/>
      <c r="J17" s="32"/>
      <c r="K17" s="33"/>
      <c r="L17" s="33"/>
      <c r="M17" s="33"/>
      <c r="N17" s="33"/>
      <c r="O17" s="33">
        <f>SUM(O13:O16)</f>
        <v>103800000</v>
      </c>
    </row>
    <row r="18" spans="1:15" x14ac:dyDescent="0.3">
      <c r="A18" s="29">
        <v>3</v>
      </c>
      <c r="B18" s="29" t="s">
        <v>30</v>
      </c>
      <c r="C18" s="29" t="s">
        <v>26</v>
      </c>
      <c r="D18" s="29"/>
      <c r="E18" s="31"/>
      <c r="F18" s="31"/>
      <c r="G18" s="31">
        <v>2</v>
      </c>
      <c r="H18" s="31"/>
      <c r="I18" s="31"/>
      <c r="J18" s="31"/>
      <c r="K18" s="31"/>
      <c r="L18" s="31"/>
      <c r="M18" s="31">
        <v>300</v>
      </c>
      <c r="N18" s="31"/>
      <c r="O18" s="31">
        <f>M18*G18*300*12</f>
        <v>2160000</v>
      </c>
    </row>
    <row r="19" spans="1:15" x14ac:dyDescent="0.3">
      <c r="A19" s="32"/>
      <c r="B19" s="32"/>
      <c r="C19" s="32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>
        <f>SUM(O18:O18)</f>
        <v>2160000</v>
      </c>
    </row>
    <row r="20" spans="1:15" x14ac:dyDescent="0.3">
      <c r="A20" s="29">
        <v>4</v>
      </c>
      <c r="B20" s="29" t="s">
        <v>32</v>
      </c>
      <c r="C20" s="29" t="s">
        <v>26</v>
      </c>
      <c r="D20" s="29"/>
      <c r="E20" s="31"/>
      <c r="F20" s="31">
        <v>5</v>
      </c>
      <c r="G20" s="31"/>
      <c r="H20" s="31"/>
      <c r="I20" s="31"/>
      <c r="J20" s="31"/>
      <c r="K20" s="31">
        <v>100000</v>
      </c>
      <c r="L20" s="31"/>
      <c r="M20" s="31"/>
      <c r="N20" s="31"/>
      <c r="O20" s="31">
        <f>K20*F20*12</f>
        <v>6000000</v>
      </c>
    </row>
    <row r="21" spans="1:15" x14ac:dyDescent="0.3">
      <c r="A21" s="32"/>
      <c r="B21" s="32"/>
      <c r="C21" s="32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>
        <f>SUM(O20:O20)</f>
        <v>6000000</v>
      </c>
    </row>
    <row r="22" spans="1:15" x14ac:dyDescent="0.3">
      <c r="A22" s="29">
        <v>5</v>
      </c>
      <c r="B22" s="74" t="s">
        <v>123</v>
      </c>
      <c r="C22" s="29" t="s">
        <v>26</v>
      </c>
      <c r="D22" s="29"/>
      <c r="E22" s="31"/>
      <c r="F22" s="31"/>
      <c r="G22" s="31"/>
      <c r="H22" s="31">
        <v>300</v>
      </c>
      <c r="I22" s="31"/>
      <c r="J22" s="31"/>
      <c r="K22" s="31"/>
      <c r="L22" s="31"/>
      <c r="M22" s="31"/>
      <c r="N22" s="31">
        <v>70000</v>
      </c>
      <c r="O22" s="31">
        <f>N22*H22</f>
        <v>21000000</v>
      </c>
    </row>
    <row r="23" spans="1:15" x14ac:dyDescent="0.3">
      <c r="A23" s="29"/>
      <c r="B23" s="74"/>
      <c r="C23" s="29" t="s">
        <v>7</v>
      </c>
      <c r="D23" s="29"/>
      <c r="E23" s="31"/>
      <c r="F23" s="31"/>
      <c r="G23" s="31"/>
      <c r="H23" s="31">
        <v>50</v>
      </c>
      <c r="I23" s="31"/>
      <c r="J23" s="31"/>
      <c r="K23" s="31"/>
      <c r="L23" s="31"/>
      <c r="M23" s="31"/>
      <c r="N23" s="31">
        <v>70000</v>
      </c>
      <c r="O23" s="31">
        <f>N23*H23</f>
        <v>3500000</v>
      </c>
    </row>
    <row r="24" spans="1:15" x14ac:dyDescent="0.3">
      <c r="A24" s="29"/>
      <c r="B24" s="74"/>
      <c r="C24" s="29" t="s">
        <v>36</v>
      </c>
      <c r="D24" s="29"/>
      <c r="E24" s="29"/>
      <c r="F24" s="29"/>
      <c r="G24" s="29"/>
      <c r="H24" s="29">
        <v>50</v>
      </c>
      <c r="I24" s="29"/>
      <c r="J24" s="29"/>
      <c r="K24" s="29"/>
      <c r="L24" s="29"/>
      <c r="M24" s="29"/>
      <c r="N24" s="31">
        <v>70000</v>
      </c>
      <c r="O24" s="31">
        <f>N24*H24</f>
        <v>3500000</v>
      </c>
    </row>
    <row r="25" spans="1:15" x14ac:dyDescent="0.3">
      <c r="A25" s="29"/>
      <c r="B25" s="74"/>
      <c r="C25" s="29" t="s">
        <v>37</v>
      </c>
      <c r="D25" s="29"/>
      <c r="E25" s="29"/>
      <c r="F25" s="29"/>
      <c r="G25" s="29"/>
      <c r="H25" s="29">
        <v>50</v>
      </c>
      <c r="I25" s="29"/>
      <c r="J25" s="29"/>
      <c r="K25" s="29"/>
      <c r="L25" s="29"/>
      <c r="M25" s="29"/>
      <c r="N25" s="31">
        <v>70000</v>
      </c>
      <c r="O25" s="31">
        <f>N25*H25</f>
        <v>3500000</v>
      </c>
    </row>
    <row r="26" spans="1:15" x14ac:dyDescent="0.3">
      <c r="A26" s="29"/>
      <c r="B26" s="74"/>
      <c r="C26" s="29" t="s">
        <v>20</v>
      </c>
      <c r="D26" s="29"/>
      <c r="E26" s="29"/>
      <c r="F26" s="29"/>
      <c r="G26" s="29"/>
      <c r="H26" s="29">
        <v>50</v>
      </c>
      <c r="I26" s="29"/>
      <c r="J26" s="29"/>
      <c r="K26" s="29"/>
      <c r="L26" s="29"/>
      <c r="M26" s="29"/>
      <c r="N26" s="31">
        <v>70000</v>
      </c>
      <c r="O26" s="29">
        <f>N26*H26</f>
        <v>3500000</v>
      </c>
    </row>
    <row r="27" spans="1:15" x14ac:dyDescent="0.3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3">
        <f>SUM(O22:O26)</f>
        <v>35000000</v>
      </c>
    </row>
    <row r="28" spans="1:15" ht="28.8" x14ac:dyDescent="0.3">
      <c r="A28" s="29">
        <v>6</v>
      </c>
      <c r="B28" s="29" t="s">
        <v>135</v>
      </c>
      <c r="C28" s="29" t="s">
        <v>115</v>
      </c>
      <c r="D28" s="29"/>
      <c r="E28" s="29"/>
      <c r="F28" s="29"/>
      <c r="G28" s="29"/>
      <c r="H28" s="29">
        <v>5</v>
      </c>
      <c r="I28" s="29"/>
      <c r="J28" s="29"/>
      <c r="K28" s="29"/>
      <c r="L28" s="29"/>
      <c r="M28" s="29"/>
      <c r="N28" s="29">
        <v>430000</v>
      </c>
      <c r="O28" s="29">
        <f>N28*H28*12</f>
        <v>25800000</v>
      </c>
    </row>
    <row r="29" spans="1:15" x14ac:dyDescent="0.3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>
        <f>SUM(O28:O28)</f>
        <v>25800000</v>
      </c>
    </row>
    <row r="30" spans="1:15" ht="28.8" customHeight="1" x14ac:dyDescent="0.3">
      <c r="A30" s="29">
        <v>7</v>
      </c>
      <c r="B30" s="29" t="s">
        <v>43</v>
      </c>
      <c r="C30" s="29" t="s">
        <v>26</v>
      </c>
      <c r="D30" s="29">
        <v>2</v>
      </c>
      <c r="E30" s="29"/>
      <c r="F30" s="29"/>
      <c r="G30" s="29"/>
      <c r="H30" s="29"/>
      <c r="I30" s="29"/>
      <c r="J30" s="29">
        <v>1200</v>
      </c>
      <c r="K30" s="29"/>
      <c r="L30" s="29"/>
      <c r="M30" s="29"/>
      <c r="N30" s="29"/>
      <c r="O30" s="29">
        <f>J30*D30*900*12</f>
        <v>25920000</v>
      </c>
    </row>
    <row r="31" spans="1:15" x14ac:dyDescent="0.3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>
        <f>SUM(O30:O30)</f>
        <v>25920000</v>
      </c>
    </row>
    <row r="32" spans="1:15" x14ac:dyDescent="0.3">
      <c r="A32" s="29">
        <v>8</v>
      </c>
      <c r="B32" s="74" t="s">
        <v>33</v>
      </c>
      <c r="C32" s="29" t="s">
        <v>26</v>
      </c>
      <c r="D32" s="29">
        <v>2</v>
      </c>
      <c r="E32" s="29"/>
      <c r="F32" s="29"/>
      <c r="G32" s="29"/>
      <c r="H32" s="29"/>
      <c r="I32" s="29"/>
      <c r="J32" s="29"/>
      <c r="K32" s="29"/>
      <c r="L32" s="29">
        <v>200000</v>
      </c>
      <c r="M32" s="29"/>
      <c r="N32" s="29"/>
      <c r="O32" s="51">
        <f>L32*D32</f>
        <v>400000</v>
      </c>
    </row>
    <row r="33" spans="1:15" x14ac:dyDescent="0.3">
      <c r="A33" s="29"/>
      <c r="B33" s="74"/>
      <c r="C33" s="29" t="s">
        <v>7</v>
      </c>
      <c r="D33" s="29">
        <v>0</v>
      </c>
      <c r="E33" s="29"/>
      <c r="F33" s="29"/>
      <c r="G33" s="29"/>
      <c r="H33" s="29"/>
      <c r="I33" s="29"/>
      <c r="J33" s="29"/>
      <c r="K33" s="29"/>
      <c r="L33" s="29">
        <v>200000</v>
      </c>
      <c r="M33" s="29"/>
      <c r="N33" s="29"/>
      <c r="O33" s="51">
        <f t="shared" ref="O33:O37" si="1">L33*D33</f>
        <v>0</v>
      </c>
    </row>
    <row r="34" spans="1:15" x14ac:dyDescent="0.3">
      <c r="A34" s="29"/>
      <c r="B34" s="74"/>
      <c r="C34" s="29" t="s">
        <v>36</v>
      </c>
      <c r="D34" s="29">
        <v>0</v>
      </c>
      <c r="E34" s="29"/>
      <c r="F34" s="29"/>
      <c r="G34" s="29"/>
      <c r="H34" s="29"/>
      <c r="I34" s="29"/>
      <c r="J34" s="29"/>
      <c r="K34" s="29"/>
      <c r="L34" s="29">
        <v>200000</v>
      </c>
      <c r="M34" s="29"/>
      <c r="N34" s="29"/>
      <c r="O34" s="51">
        <f t="shared" si="1"/>
        <v>0</v>
      </c>
    </row>
    <row r="35" spans="1:15" x14ac:dyDescent="0.3">
      <c r="A35" s="29"/>
      <c r="B35" s="74"/>
      <c r="C35" s="29" t="s">
        <v>37</v>
      </c>
      <c r="D35" s="29">
        <v>0</v>
      </c>
      <c r="E35" s="29"/>
      <c r="F35" s="29"/>
      <c r="G35" s="29"/>
      <c r="H35" s="29"/>
      <c r="I35" s="29"/>
      <c r="J35" s="29"/>
      <c r="K35" s="29"/>
      <c r="L35" s="29">
        <v>200000</v>
      </c>
      <c r="M35" s="29"/>
      <c r="N35" s="29"/>
      <c r="O35" s="51">
        <f t="shared" si="1"/>
        <v>0</v>
      </c>
    </row>
    <row r="36" spans="1:15" x14ac:dyDescent="0.3">
      <c r="A36" s="29"/>
      <c r="B36" s="74"/>
      <c r="C36" s="29" t="s">
        <v>21</v>
      </c>
      <c r="D36" s="29">
        <v>0</v>
      </c>
      <c r="E36" s="29"/>
      <c r="F36" s="29"/>
      <c r="G36" s="29"/>
      <c r="H36" s="29"/>
      <c r="I36" s="29"/>
      <c r="J36" s="29"/>
      <c r="K36" s="29"/>
      <c r="L36" s="29">
        <v>200000</v>
      </c>
      <c r="M36" s="29"/>
      <c r="N36" s="29"/>
      <c r="O36" s="51">
        <f t="shared" si="1"/>
        <v>0</v>
      </c>
    </row>
    <row r="37" spans="1:15" x14ac:dyDescent="0.3">
      <c r="A37" s="29"/>
      <c r="B37" s="74"/>
      <c r="C37" s="29" t="s">
        <v>20</v>
      </c>
      <c r="D37" s="29">
        <v>0</v>
      </c>
      <c r="E37" s="29"/>
      <c r="F37" s="29"/>
      <c r="G37" s="29"/>
      <c r="H37" s="29"/>
      <c r="I37" s="29"/>
      <c r="J37" s="29"/>
      <c r="K37" s="29"/>
      <c r="L37" s="29">
        <v>200000</v>
      </c>
      <c r="M37" s="29"/>
      <c r="N37" s="29"/>
      <c r="O37" s="51">
        <f t="shared" si="1"/>
        <v>0</v>
      </c>
    </row>
    <row r="38" spans="1:15" x14ac:dyDescent="0.3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52"/>
      <c r="L38" s="52"/>
      <c r="M38" s="52"/>
      <c r="N38" s="54"/>
      <c r="O38" s="55">
        <v>1800000</v>
      </c>
    </row>
    <row r="39" spans="1:15" ht="15.6" x14ac:dyDescent="0.3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56" t="s">
        <v>27</v>
      </c>
      <c r="O39" s="57">
        <f>O38+O31+O29+O27+O21+O19+O17+O12</f>
        <v>214880000</v>
      </c>
    </row>
    <row r="40" spans="1:15" x14ac:dyDescent="0.3">
      <c r="O40" s="27"/>
    </row>
    <row r="41" spans="1:15" ht="15" thickBot="1" x14ac:dyDescent="0.35">
      <c r="O41" s="10"/>
    </row>
    <row r="42" spans="1:15" ht="15" thickTop="1" x14ac:dyDescent="0.3"/>
  </sheetData>
  <mergeCells count="6">
    <mergeCell ref="B22:B26"/>
    <mergeCell ref="B32:B37"/>
    <mergeCell ref="D3:I3"/>
    <mergeCell ref="A1:O1"/>
    <mergeCell ref="B7:B11"/>
    <mergeCell ref="B13:B1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67"/>
  <sheetViews>
    <sheetView zoomScale="80" zoomScaleNormal="80" workbookViewId="0">
      <pane ySplit="5" topLeftCell="A41" activePane="bottomLeft" state="frozen"/>
      <selection pane="bottomLeft" activeCell="A65" sqref="A65"/>
    </sheetView>
  </sheetViews>
  <sheetFormatPr defaultColWidth="8.77734375" defaultRowHeight="14.4" x14ac:dyDescent="0.3"/>
  <cols>
    <col min="1" max="1" width="7.109375" style="3" customWidth="1"/>
    <col min="2" max="2" width="19.109375" style="3" customWidth="1"/>
    <col min="3" max="3" width="12.21875" style="3" customWidth="1"/>
    <col min="4" max="8" width="15.21875" style="3" customWidth="1"/>
    <col min="9" max="15" width="19.88671875" style="3" customWidth="1"/>
    <col min="16" max="16384" width="8.77734375" style="3"/>
  </cols>
  <sheetData>
    <row r="1" spans="1:15" ht="18" x14ac:dyDescent="0.3">
      <c r="A1" s="79" t="s">
        <v>24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</row>
    <row r="2" spans="1:15" ht="18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5" ht="18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 spans="1:15" s="4" customFormat="1" ht="18" customHeight="1" x14ac:dyDescent="0.3">
      <c r="A4" s="41"/>
      <c r="B4" s="41"/>
      <c r="C4" s="41"/>
      <c r="D4" s="81" t="s">
        <v>119</v>
      </c>
      <c r="E4" s="82"/>
      <c r="F4" s="82"/>
      <c r="G4" s="82"/>
      <c r="H4" s="83"/>
      <c r="I4" s="58"/>
      <c r="J4" s="41"/>
      <c r="K4" s="41"/>
      <c r="L4" s="41"/>
      <c r="M4" s="41"/>
      <c r="N4" s="41"/>
      <c r="O4" s="41"/>
    </row>
    <row r="5" spans="1:15" s="6" customFormat="1" ht="46.8" x14ac:dyDescent="0.3">
      <c r="A5" s="30"/>
      <c r="B5" s="30" t="s">
        <v>3</v>
      </c>
      <c r="C5" s="30" t="s">
        <v>11</v>
      </c>
      <c r="D5" s="30" t="s">
        <v>17</v>
      </c>
      <c r="E5" s="30" t="s">
        <v>5</v>
      </c>
      <c r="F5" s="30" t="s">
        <v>12</v>
      </c>
      <c r="G5" s="30" t="s">
        <v>0</v>
      </c>
      <c r="H5" s="30" t="s">
        <v>2</v>
      </c>
      <c r="I5" s="30" t="s">
        <v>13</v>
      </c>
      <c r="J5" s="30" t="s">
        <v>14</v>
      </c>
      <c r="K5" s="30" t="s">
        <v>15</v>
      </c>
      <c r="L5" s="30" t="s">
        <v>117</v>
      </c>
      <c r="M5" s="30" t="s">
        <v>116</v>
      </c>
      <c r="N5" s="30" t="s">
        <v>97</v>
      </c>
      <c r="O5" s="30" t="s">
        <v>9</v>
      </c>
    </row>
    <row r="6" spans="1:15" s="6" customFormat="1" ht="15.6" x14ac:dyDescent="0.3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</row>
    <row r="7" spans="1:15" x14ac:dyDescent="0.3">
      <c r="A7" s="29">
        <v>1</v>
      </c>
      <c r="B7" s="74" t="s">
        <v>42</v>
      </c>
      <c r="C7" s="29" t="s">
        <v>26</v>
      </c>
      <c r="D7" s="31"/>
      <c r="E7" s="31">
        <v>1500</v>
      </c>
      <c r="F7" s="31"/>
      <c r="G7" s="31"/>
      <c r="H7" s="31"/>
      <c r="I7" s="31"/>
      <c r="J7" s="31">
        <v>1200</v>
      </c>
      <c r="K7" s="31"/>
      <c r="L7" s="31"/>
      <c r="M7" s="31"/>
      <c r="N7" s="31"/>
      <c r="O7" s="31">
        <f t="shared" ref="O7:O14" si="0">(E7*4/100)*J7*25*12</f>
        <v>21600000</v>
      </c>
    </row>
    <row r="8" spans="1:15" x14ac:dyDescent="0.3">
      <c r="A8" s="29"/>
      <c r="B8" s="74"/>
      <c r="C8" s="29" t="s">
        <v>7</v>
      </c>
      <c r="D8" s="31"/>
      <c r="E8" s="31">
        <v>500</v>
      </c>
      <c r="F8" s="31"/>
      <c r="G8" s="31"/>
      <c r="H8" s="31"/>
      <c r="I8" s="31"/>
      <c r="J8" s="31">
        <v>1200</v>
      </c>
      <c r="K8" s="31"/>
      <c r="L8" s="31"/>
      <c r="M8" s="31"/>
      <c r="N8" s="31"/>
      <c r="O8" s="31">
        <f t="shared" si="0"/>
        <v>7200000</v>
      </c>
    </row>
    <row r="9" spans="1:15" x14ac:dyDescent="0.3">
      <c r="A9" s="29"/>
      <c r="B9" s="74"/>
      <c r="C9" s="29" t="s">
        <v>8</v>
      </c>
      <c r="D9" s="29"/>
      <c r="E9" s="31">
        <v>500</v>
      </c>
      <c r="F9" s="31"/>
      <c r="G9" s="31"/>
      <c r="H9" s="31"/>
      <c r="I9" s="31"/>
      <c r="J9" s="31">
        <v>1200</v>
      </c>
      <c r="K9" s="31"/>
      <c r="L9" s="31"/>
      <c r="M9" s="31"/>
      <c r="N9" s="31"/>
      <c r="O9" s="31">
        <f t="shared" si="0"/>
        <v>7200000</v>
      </c>
    </row>
    <row r="10" spans="1:15" x14ac:dyDescent="0.3">
      <c r="A10" s="29"/>
      <c r="B10" s="74"/>
      <c r="C10" s="29" t="s">
        <v>20</v>
      </c>
      <c r="D10" s="29"/>
      <c r="E10" s="31">
        <v>500</v>
      </c>
      <c r="F10" s="31"/>
      <c r="G10" s="31"/>
      <c r="H10" s="31"/>
      <c r="I10" s="31"/>
      <c r="J10" s="31">
        <v>1200</v>
      </c>
      <c r="K10" s="31"/>
      <c r="L10" s="31"/>
      <c r="M10" s="31"/>
      <c r="N10" s="31"/>
      <c r="O10" s="31">
        <f t="shared" si="0"/>
        <v>7200000</v>
      </c>
    </row>
    <row r="11" spans="1:15" x14ac:dyDescent="0.3">
      <c r="A11" s="29"/>
      <c r="B11" s="74"/>
      <c r="C11" s="29" t="s">
        <v>10</v>
      </c>
      <c r="D11" s="29"/>
      <c r="E11" s="31">
        <v>500</v>
      </c>
      <c r="F11" s="31"/>
      <c r="G11" s="31"/>
      <c r="H11" s="31"/>
      <c r="I11" s="31"/>
      <c r="J11" s="31">
        <v>1200</v>
      </c>
      <c r="K11" s="31"/>
      <c r="L11" s="31"/>
      <c r="M11" s="31"/>
      <c r="N11" s="31"/>
      <c r="O11" s="31">
        <f t="shared" si="0"/>
        <v>7200000</v>
      </c>
    </row>
    <row r="12" spans="1:15" x14ac:dyDescent="0.3">
      <c r="A12" s="29"/>
      <c r="B12" s="74"/>
      <c r="C12" s="29" t="s">
        <v>21</v>
      </c>
      <c r="D12" s="29"/>
      <c r="E12" s="31">
        <v>500</v>
      </c>
      <c r="F12" s="31"/>
      <c r="G12" s="31"/>
      <c r="H12" s="31"/>
      <c r="I12" s="31"/>
      <c r="J12" s="31">
        <v>1200</v>
      </c>
      <c r="K12" s="31"/>
      <c r="L12" s="31"/>
      <c r="M12" s="31"/>
      <c r="N12" s="31"/>
      <c r="O12" s="31">
        <f t="shared" si="0"/>
        <v>7200000</v>
      </c>
    </row>
    <row r="13" spans="1:15" x14ac:dyDescent="0.3">
      <c r="A13" s="29"/>
      <c r="B13" s="74"/>
      <c r="C13" s="29" t="s">
        <v>124</v>
      </c>
      <c r="D13" s="29"/>
      <c r="E13" s="31">
        <v>500</v>
      </c>
      <c r="F13" s="31"/>
      <c r="G13" s="31"/>
      <c r="H13" s="31"/>
      <c r="I13" s="31"/>
      <c r="J13" s="31">
        <v>1200</v>
      </c>
      <c r="K13" s="31"/>
      <c r="L13" s="31"/>
      <c r="M13" s="31"/>
      <c r="N13" s="31"/>
      <c r="O13" s="31">
        <f t="shared" si="0"/>
        <v>7200000</v>
      </c>
    </row>
    <row r="14" spans="1:15" x14ac:dyDescent="0.3">
      <c r="A14" s="29"/>
      <c r="B14" s="74"/>
      <c r="C14" s="29" t="s">
        <v>22</v>
      </c>
      <c r="D14" s="29"/>
      <c r="E14" s="31">
        <v>500</v>
      </c>
      <c r="F14" s="31"/>
      <c r="G14" s="31"/>
      <c r="H14" s="31"/>
      <c r="I14" s="31"/>
      <c r="J14" s="31">
        <v>1200</v>
      </c>
      <c r="K14" s="31"/>
      <c r="L14" s="31"/>
      <c r="M14" s="31"/>
      <c r="N14" s="31"/>
      <c r="O14" s="31">
        <f t="shared" si="0"/>
        <v>7200000</v>
      </c>
    </row>
    <row r="15" spans="1:15" x14ac:dyDescent="0.3">
      <c r="A15" s="32"/>
      <c r="B15" s="32"/>
      <c r="C15" s="32"/>
      <c r="D15" s="32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>
        <f>SUM(O7:O14)</f>
        <v>72000000</v>
      </c>
    </row>
    <row r="16" spans="1:15" ht="15.6" x14ac:dyDescent="0.3">
      <c r="A16" s="29">
        <v>3</v>
      </c>
      <c r="B16" s="74" t="s">
        <v>41</v>
      </c>
      <c r="C16" s="29" t="s">
        <v>26</v>
      </c>
      <c r="D16" s="42">
        <v>20</v>
      </c>
      <c r="E16" s="31"/>
      <c r="F16" s="31"/>
      <c r="G16" s="31"/>
      <c r="H16" s="31"/>
      <c r="I16" s="31">
        <v>500000</v>
      </c>
      <c r="J16" s="29"/>
      <c r="K16" s="31"/>
      <c r="L16" s="31"/>
      <c r="M16" s="31"/>
      <c r="N16" s="31"/>
      <c r="O16" s="31">
        <f>I16*D16*12</f>
        <v>120000000</v>
      </c>
    </row>
    <row r="17" spans="1:15" ht="15.6" x14ac:dyDescent="0.3">
      <c r="A17" s="29"/>
      <c r="B17" s="74"/>
      <c r="C17" s="29" t="s">
        <v>26</v>
      </c>
      <c r="D17" s="42">
        <v>150</v>
      </c>
      <c r="E17" s="31"/>
      <c r="F17" s="31"/>
      <c r="G17" s="31"/>
      <c r="H17" s="31"/>
      <c r="I17" s="31">
        <v>2500</v>
      </c>
      <c r="J17" s="29"/>
      <c r="K17" s="31"/>
      <c r="L17" s="31"/>
      <c r="M17" s="31"/>
      <c r="N17" s="31"/>
      <c r="O17" s="31">
        <f>D17*I17*12</f>
        <v>4500000</v>
      </c>
    </row>
    <row r="18" spans="1:15" ht="15.6" x14ac:dyDescent="0.3">
      <c r="A18" s="29"/>
      <c r="B18" s="74"/>
      <c r="C18" s="29" t="s">
        <v>7</v>
      </c>
      <c r="D18" s="42">
        <v>5</v>
      </c>
      <c r="E18" s="31"/>
      <c r="F18" s="31"/>
      <c r="G18" s="31"/>
      <c r="H18" s="31"/>
      <c r="I18" s="31">
        <v>500000</v>
      </c>
      <c r="J18" s="29"/>
      <c r="K18" s="31"/>
      <c r="L18" s="31"/>
      <c r="M18" s="31"/>
      <c r="N18" s="31"/>
      <c r="O18" s="31">
        <f t="shared" ref="O18:O24" si="1">I18*D18*12</f>
        <v>30000000</v>
      </c>
    </row>
    <row r="19" spans="1:15" x14ac:dyDescent="0.3">
      <c r="A19" s="29"/>
      <c r="B19" s="74"/>
      <c r="C19" s="29" t="s">
        <v>10</v>
      </c>
      <c r="D19" s="31">
        <v>5</v>
      </c>
      <c r="E19" s="31"/>
      <c r="F19" s="31"/>
      <c r="G19" s="31"/>
      <c r="H19" s="31"/>
      <c r="I19" s="31">
        <v>500000</v>
      </c>
      <c r="J19" s="29"/>
      <c r="K19" s="31"/>
      <c r="L19" s="31"/>
      <c r="M19" s="31"/>
      <c r="N19" s="31"/>
      <c r="O19" s="31">
        <f t="shared" si="1"/>
        <v>30000000</v>
      </c>
    </row>
    <row r="20" spans="1:15" x14ac:dyDescent="0.3">
      <c r="A20" s="29"/>
      <c r="B20" s="74"/>
      <c r="C20" s="29" t="s">
        <v>20</v>
      </c>
      <c r="D20" s="31">
        <v>5</v>
      </c>
      <c r="E20" s="31"/>
      <c r="F20" s="31"/>
      <c r="G20" s="31"/>
      <c r="H20" s="31"/>
      <c r="I20" s="31">
        <v>2500</v>
      </c>
      <c r="J20" s="29"/>
      <c r="K20" s="31"/>
      <c r="L20" s="31"/>
      <c r="M20" s="31"/>
      <c r="N20" s="31"/>
      <c r="O20" s="31">
        <f t="shared" si="1"/>
        <v>150000</v>
      </c>
    </row>
    <row r="21" spans="1:15" x14ac:dyDescent="0.3">
      <c r="A21" s="29"/>
      <c r="B21" s="74"/>
      <c r="C21" s="29" t="s">
        <v>21</v>
      </c>
      <c r="D21" s="31">
        <v>50</v>
      </c>
      <c r="E21" s="31"/>
      <c r="F21" s="31"/>
      <c r="G21" s="31"/>
      <c r="H21" s="31"/>
      <c r="I21" s="31">
        <v>2500</v>
      </c>
      <c r="J21" s="29"/>
      <c r="K21" s="31"/>
      <c r="L21" s="31"/>
      <c r="M21" s="31"/>
      <c r="N21" s="31"/>
      <c r="O21" s="31">
        <f t="shared" si="1"/>
        <v>1500000</v>
      </c>
    </row>
    <row r="22" spans="1:15" x14ac:dyDescent="0.3">
      <c r="A22" s="29"/>
      <c r="B22" s="74"/>
      <c r="C22" s="29" t="s">
        <v>21</v>
      </c>
      <c r="D22" s="31">
        <v>5</v>
      </c>
      <c r="E22" s="31"/>
      <c r="F22" s="31"/>
      <c r="G22" s="31"/>
      <c r="H22" s="31"/>
      <c r="I22" s="31">
        <v>500000</v>
      </c>
      <c r="J22" s="29"/>
      <c r="K22" s="31"/>
      <c r="L22" s="31"/>
      <c r="M22" s="31"/>
      <c r="N22" s="31"/>
      <c r="O22" s="31">
        <f t="shared" si="1"/>
        <v>30000000</v>
      </c>
    </row>
    <row r="23" spans="1:15" x14ac:dyDescent="0.3">
      <c r="A23" s="29"/>
      <c r="B23" s="74"/>
      <c r="C23" s="29" t="s">
        <v>124</v>
      </c>
      <c r="D23" s="31">
        <v>5</v>
      </c>
      <c r="E23" s="31"/>
      <c r="F23" s="31"/>
      <c r="G23" s="31"/>
      <c r="H23" s="31"/>
      <c r="I23" s="31">
        <v>500000</v>
      </c>
      <c r="J23" s="29"/>
      <c r="K23" s="31"/>
      <c r="L23" s="31"/>
      <c r="M23" s="31"/>
      <c r="N23" s="31"/>
      <c r="O23" s="31">
        <f t="shared" si="1"/>
        <v>30000000</v>
      </c>
    </row>
    <row r="24" spans="1:15" x14ac:dyDescent="0.3">
      <c r="A24" s="29"/>
      <c r="B24" s="74"/>
      <c r="C24" s="29" t="s">
        <v>22</v>
      </c>
      <c r="D24" s="31">
        <v>5</v>
      </c>
      <c r="E24" s="31"/>
      <c r="F24" s="31"/>
      <c r="G24" s="31"/>
      <c r="H24" s="31"/>
      <c r="I24" s="31">
        <v>750000</v>
      </c>
      <c r="J24" s="29"/>
      <c r="K24" s="31"/>
      <c r="L24" s="31"/>
      <c r="M24" s="31"/>
      <c r="N24" s="31"/>
      <c r="O24" s="31">
        <f t="shared" si="1"/>
        <v>45000000</v>
      </c>
    </row>
    <row r="25" spans="1:15" x14ac:dyDescent="0.3">
      <c r="A25" s="32"/>
      <c r="B25" s="32"/>
      <c r="C25" s="32"/>
      <c r="D25" s="33"/>
      <c r="E25" s="33"/>
      <c r="F25" s="33"/>
      <c r="G25" s="33"/>
      <c r="H25" s="33"/>
      <c r="I25" s="33"/>
      <c r="J25" s="32"/>
      <c r="K25" s="33"/>
      <c r="L25" s="33"/>
      <c r="M25" s="33"/>
      <c r="N25" s="33"/>
      <c r="O25" s="33">
        <f>SUM(O16:O24)</f>
        <v>291150000</v>
      </c>
    </row>
    <row r="26" spans="1:15" x14ac:dyDescent="0.3">
      <c r="A26" s="29">
        <v>4</v>
      </c>
      <c r="B26" s="74" t="s">
        <v>30</v>
      </c>
      <c r="C26" s="29" t="s">
        <v>26</v>
      </c>
      <c r="D26" s="29"/>
      <c r="E26" s="31"/>
      <c r="F26" s="31"/>
      <c r="G26" s="31">
        <v>10</v>
      </c>
      <c r="H26" s="31"/>
      <c r="I26" s="31"/>
      <c r="J26" s="31"/>
      <c r="K26" s="31"/>
      <c r="L26" s="31"/>
      <c r="M26" s="31">
        <v>300</v>
      </c>
      <c r="N26" s="31"/>
      <c r="O26" s="31">
        <f t="shared" ref="O26:O29" si="2">M26*G26*12*300</f>
        <v>10800000</v>
      </c>
    </row>
    <row r="27" spans="1:15" x14ac:dyDescent="0.3">
      <c r="A27" s="29"/>
      <c r="B27" s="74"/>
      <c r="C27" s="29" t="s">
        <v>7</v>
      </c>
      <c r="D27" s="29"/>
      <c r="E27" s="31"/>
      <c r="F27" s="31"/>
      <c r="G27" s="31">
        <v>0</v>
      </c>
      <c r="H27" s="31"/>
      <c r="I27" s="31"/>
      <c r="J27" s="31"/>
      <c r="K27" s="31"/>
      <c r="L27" s="31"/>
      <c r="M27" s="31">
        <v>300</v>
      </c>
      <c r="N27" s="31"/>
      <c r="O27" s="31">
        <f t="shared" si="2"/>
        <v>0</v>
      </c>
    </row>
    <row r="28" spans="1:15" x14ac:dyDescent="0.3">
      <c r="A28" s="29"/>
      <c r="B28" s="74"/>
      <c r="C28" s="29" t="s">
        <v>10</v>
      </c>
      <c r="D28" s="29"/>
      <c r="E28" s="31"/>
      <c r="F28" s="31"/>
      <c r="G28" s="31">
        <v>0</v>
      </c>
      <c r="H28" s="31"/>
      <c r="I28" s="31"/>
      <c r="J28" s="31"/>
      <c r="K28" s="31"/>
      <c r="L28" s="31"/>
      <c r="M28" s="31">
        <v>300</v>
      </c>
      <c r="N28" s="31"/>
      <c r="O28" s="31">
        <f t="shared" si="2"/>
        <v>0</v>
      </c>
    </row>
    <row r="29" spans="1:15" x14ac:dyDescent="0.3">
      <c r="A29" s="29"/>
      <c r="B29" s="74"/>
      <c r="C29" s="29" t="s">
        <v>20</v>
      </c>
      <c r="D29" s="31"/>
      <c r="E29" s="31"/>
      <c r="F29" s="31"/>
      <c r="G29" s="31">
        <v>0</v>
      </c>
      <c r="H29" s="31"/>
      <c r="I29" s="31"/>
      <c r="J29" s="31"/>
      <c r="K29" s="31"/>
      <c r="L29" s="31"/>
      <c r="M29" s="31">
        <v>300</v>
      </c>
      <c r="N29" s="31"/>
      <c r="O29" s="31">
        <f t="shared" si="2"/>
        <v>0</v>
      </c>
    </row>
    <row r="30" spans="1:15" x14ac:dyDescent="0.3">
      <c r="A30" s="32"/>
      <c r="B30" s="32"/>
      <c r="C30" s="32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>
        <f>SUM(O26:O29)</f>
        <v>10800000</v>
      </c>
    </row>
    <row r="31" spans="1:15" ht="97.05" customHeight="1" x14ac:dyDescent="0.3">
      <c r="A31" s="29">
        <v>5</v>
      </c>
      <c r="B31" s="74" t="s">
        <v>32</v>
      </c>
      <c r="C31" s="29" t="s">
        <v>26</v>
      </c>
      <c r="D31" s="29"/>
      <c r="E31" s="31"/>
      <c r="F31" s="31">
        <v>10</v>
      </c>
      <c r="G31" s="31"/>
      <c r="H31" s="31"/>
      <c r="I31" s="31"/>
      <c r="J31" s="31"/>
      <c r="K31" s="31">
        <v>120000</v>
      </c>
      <c r="L31" s="31"/>
      <c r="M31" s="31"/>
      <c r="N31" s="31"/>
      <c r="O31" s="31">
        <f t="shared" ref="O31:O33" si="3">K31*F31*12</f>
        <v>14400000</v>
      </c>
    </row>
    <row r="32" spans="1:15" x14ac:dyDescent="0.3">
      <c r="A32" s="29"/>
      <c r="B32" s="74"/>
      <c r="C32" s="29" t="s">
        <v>8</v>
      </c>
      <c r="D32" s="29"/>
      <c r="E32" s="31"/>
      <c r="F32" s="31">
        <v>2</v>
      </c>
      <c r="G32" s="31"/>
      <c r="H32" s="31"/>
      <c r="I32" s="31"/>
      <c r="J32" s="31"/>
      <c r="K32" s="31">
        <v>120000</v>
      </c>
      <c r="L32" s="31"/>
      <c r="M32" s="31"/>
      <c r="N32" s="31"/>
      <c r="O32" s="31">
        <f t="shared" si="3"/>
        <v>2880000</v>
      </c>
    </row>
    <row r="33" spans="1:15" x14ac:dyDescent="0.3">
      <c r="A33" s="29"/>
      <c r="B33" s="74"/>
      <c r="C33" s="29" t="s">
        <v>10</v>
      </c>
      <c r="D33" s="29"/>
      <c r="E33" s="31"/>
      <c r="F33" s="31">
        <v>2</v>
      </c>
      <c r="G33" s="31"/>
      <c r="H33" s="31"/>
      <c r="I33" s="31"/>
      <c r="J33" s="31"/>
      <c r="K33" s="31">
        <v>120000</v>
      </c>
      <c r="L33" s="31"/>
      <c r="M33" s="31"/>
      <c r="N33" s="31"/>
      <c r="O33" s="31">
        <f t="shared" si="3"/>
        <v>2880000</v>
      </c>
    </row>
    <row r="34" spans="1:15" x14ac:dyDescent="0.3">
      <c r="A34" s="32"/>
      <c r="B34" s="32"/>
      <c r="C34" s="32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>
        <f>SUM(O31:O33)</f>
        <v>20160000</v>
      </c>
    </row>
    <row r="35" spans="1:15" x14ac:dyDescent="0.3">
      <c r="A35" s="29">
        <v>6</v>
      </c>
      <c r="B35" s="74" t="s">
        <v>123</v>
      </c>
      <c r="C35" s="29" t="s">
        <v>26</v>
      </c>
      <c r="D35" s="29"/>
      <c r="E35" s="31"/>
      <c r="F35" s="31"/>
      <c r="G35" s="31"/>
      <c r="H35" s="31">
        <v>500</v>
      </c>
      <c r="I35" s="31"/>
      <c r="J35" s="31"/>
      <c r="K35" s="31"/>
      <c r="L35" s="31"/>
      <c r="M35" s="31"/>
      <c r="N35" s="31">
        <v>70000</v>
      </c>
      <c r="O35" s="31">
        <f t="shared" ref="O35:O42" si="4">N35*H35</f>
        <v>35000000</v>
      </c>
    </row>
    <row r="36" spans="1:15" x14ac:dyDescent="0.3">
      <c r="A36" s="29"/>
      <c r="B36" s="74"/>
      <c r="C36" s="29" t="s">
        <v>7</v>
      </c>
      <c r="D36" s="29"/>
      <c r="E36" s="31"/>
      <c r="F36" s="31"/>
      <c r="G36" s="31"/>
      <c r="H36" s="31">
        <v>100</v>
      </c>
      <c r="I36" s="31"/>
      <c r="J36" s="31"/>
      <c r="K36" s="31"/>
      <c r="L36" s="31"/>
      <c r="M36" s="31"/>
      <c r="N36" s="31">
        <v>70000</v>
      </c>
      <c r="O36" s="31">
        <f t="shared" si="4"/>
        <v>7000000</v>
      </c>
    </row>
    <row r="37" spans="1:15" x14ac:dyDescent="0.3">
      <c r="A37" s="29"/>
      <c r="B37" s="74"/>
      <c r="C37" s="29" t="s">
        <v>8</v>
      </c>
      <c r="D37" s="29"/>
      <c r="E37" s="29"/>
      <c r="F37" s="29"/>
      <c r="G37" s="29"/>
      <c r="H37" s="31">
        <v>100</v>
      </c>
      <c r="I37" s="29"/>
      <c r="J37" s="29"/>
      <c r="K37" s="29"/>
      <c r="L37" s="29"/>
      <c r="M37" s="29"/>
      <c r="N37" s="31">
        <v>70000</v>
      </c>
      <c r="O37" s="31">
        <f t="shared" si="4"/>
        <v>7000000</v>
      </c>
    </row>
    <row r="38" spans="1:15" x14ac:dyDescent="0.3">
      <c r="A38" s="29"/>
      <c r="B38" s="74"/>
      <c r="C38" s="29" t="s">
        <v>10</v>
      </c>
      <c r="D38" s="29"/>
      <c r="E38" s="29"/>
      <c r="F38" s="29"/>
      <c r="G38" s="29"/>
      <c r="H38" s="31">
        <v>100</v>
      </c>
      <c r="I38" s="29"/>
      <c r="J38" s="29"/>
      <c r="K38" s="29"/>
      <c r="L38" s="29"/>
      <c r="M38" s="29"/>
      <c r="N38" s="31">
        <v>70000</v>
      </c>
      <c r="O38" s="31">
        <f t="shared" si="4"/>
        <v>7000000</v>
      </c>
    </row>
    <row r="39" spans="1:15" x14ac:dyDescent="0.3">
      <c r="A39" s="29"/>
      <c r="B39" s="74"/>
      <c r="C39" s="29" t="s">
        <v>20</v>
      </c>
      <c r="D39" s="29"/>
      <c r="E39" s="29"/>
      <c r="F39" s="29"/>
      <c r="G39" s="29"/>
      <c r="H39" s="31">
        <v>100</v>
      </c>
      <c r="I39" s="29"/>
      <c r="J39" s="29"/>
      <c r="K39" s="29"/>
      <c r="L39" s="29"/>
      <c r="M39" s="29"/>
      <c r="N39" s="31">
        <v>70000</v>
      </c>
      <c r="O39" s="31">
        <f t="shared" si="4"/>
        <v>7000000</v>
      </c>
    </row>
    <row r="40" spans="1:15" x14ac:dyDescent="0.3">
      <c r="A40" s="29"/>
      <c r="B40" s="74"/>
      <c r="C40" s="29" t="s">
        <v>21</v>
      </c>
      <c r="D40" s="29"/>
      <c r="E40" s="29"/>
      <c r="F40" s="29"/>
      <c r="G40" s="29"/>
      <c r="H40" s="31">
        <v>100</v>
      </c>
      <c r="I40" s="29"/>
      <c r="J40" s="29"/>
      <c r="K40" s="29"/>
      <c r="L40" s="29"/>
      <c r="M40" s="29"/>
      <c r="N40" s="31">
        <v>70000</v>
      </c>
      <c r="O40" s="31">
        <f t="shared" si="4"/>
        <v>7000000</v>
      </c>
    </row>
    <row r="41" spans="1:15" x14ac:dyDescent="0.3">
      <c r="A41" s="29"/>
      <c r="B41" s="74"/>
      <c r="C41" s="29" t="s">
        <v>124</v>
      </c>
      <c r="D41" s="29"/>
      <c r="E41" s="29"/>
      <c r="F41" s="29"/>
      <c r="G41" s="29"/>
      <c r="H41" s="31">
        <v>100</v>
      </c>
      <c r="I41" s="29"/>
      <c r="J41" s="29"/>
      <c r="K41" s="29"/>
      <c r="L41" s="29"/>
      <c r="M41" s="29"/>
      <c r="N41" s="31">
        <v>70000</v>
      </c>
      <c r="O41" s="31">
        <f t="shared" si="4"/>
        <v>7000000</v>
      </c>
    </row>
    <row r="42" spans="1:15" x14ac:dyDescent="0.3">
      <c r="A42" s="29"/>
      <c r="B42" s="74"/>
      <c r="C42" s="29" t="s">
        <v>22</v>
      </c>
      <c r="D42" s="29"/>
      <c r="E42" s="29"/>
      <c r="F42" s="29"/>
      <c r="G42" s="29"/>
      <c r="H42" s="31">
        <v>100</v>
      </c>
      <c r="I42" s="29"/>
      <c r="J42" s="29"/>
      <c r="K42" s="29"/>
      <c r="L42" s="29"/>
      <c r="M42" s="29"/>
      <c r="N42" s="31">
        <v>70000</v>
      </c>
      <c r="O42" s="31">
        <f t="shared" si="4"/>
        <v>7000000</v>
      </c>
    </row>
    <row r="43" spans="1:15" x14ac:dyDescent="0.3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3"/>
      <c r="O43" s="33">
        <f>SUM(O35:O42)</f>
        <v>84000000</v>
      </c>
    </row>
    <row r="44" spans="1:15" ht="43.2" x14ac:dyDescent="0.3">
      <c r="A44" s="29">
        <v>7</v>
      </c>
      <c r="B44" s="29" t="s">
        <v>135</v>
      </c>
      <c r="C44" s="29" t="s">
        <v>113</v>
      </c>
      <c r="D44" s="29"/>
      <c r="E44" s="29"/>
      <c r="F44" s="29"/>
      <c r="G44" s="29"/>
      <c r="H44" s="29">
        <v>20</v>
      </c>
      <c r="I44" s="29"/>
      <c r="J44" s="29"/>
      <c r="K44" s="29"/>
      <c r="L44" s="29"/>
      <c r="M44" s="29"/>
      <c r="N44" s="51">
        <v>430000</v>
      </c>
      <c r="O44" s="51">
        <f>N44*H44*12</f>
        <v>103200000</v>
      </c>
    </row>
    <row r="45" spans="1:15" x14ac:dyDescent="0.3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59"/>
      <c r="O45" s="59">
        <f>SUM(O44:O44)</f>
        <v>103200000</v>
      </c>
    </row>
    <row r="46" spans="1:15" x14ac:dyDescent="0.3">
      <c r="A46" s="29">
        <v>8</v>
      </c>
      <c r="B46" s="74" t="s">
        <v>43</v>
      </c>
      <c r="C46" s="29" t="s">
        <v>26</v>
      </c>
      <c r="D46" s="29">
        <v>4</v>
      </c>
      <c r="E46" s="29"/>
      <c r="F46" s="29"/>
      <c r="G46" s="29"/>
      <c r="H46" s="29"/>
      <c r="I46" s="29"/>
      <c r="J46" s="29">
        <v>1200</v>
      </c>
      <c r="K46" s="29"/>
      <c r="L46" s="29"/>
      <c r="M46" s="29"/>
      <c r="N46" s="51"/>
      <c r="O46" s="51">
        <f t="shared" ref="O46:O51" si="5">J46*D46*900*12</f>
        <v>51840000</v>
      </c>
    </row>
    <row r="47" spans="1:15" x14ac:dyDescent="0.3">
      <c r="A47" s="29"/>
      <c r="B47" s="74"/>
      <c r="C47" s="29" t="s">
        <v>7</v>
      </c>
      <c r="D47" s="29">
        <v>1</v>
      </c>
      <c r="E47" s="29"/>
      <c r="F47" s="29"/>
      <c r="G47" s="29"/>
      <c r="H47" s="29"/>
      <c r="I47" s="29"/>
      <c r="J47" s="29">
        <v>1200</v>
      </c>
      <c r="K47" s="29"/>
      <c r="L47" s="29"/>
      <c r="M47" s="29"/>
      <c r="N47" s="51"/>
      <c r="O47" s="51">
        <f t="shared" si="5"/>
        <v>12960000</v>
      </c>
    </row>
    <row r="48" spans="1:15" x14ac:dyDescent="0.3">
      <c r="A48" s="29"/>
      <c r="B48" s="74"/>
      <c r="C48" s="29" t="s">
        <v>8</v>
      </c>
      <c r="D48" s="29">
        <v>1</v>
      </c>
      <c r="E48" s="29"/>
      <c r="F48" s="29"/>
      <c r="G48" s="29"/>
      <c r="H48" s="29"/>
      <c r="I48" s="29"/>
      <c r="J48" s="29">
        <v>1200</v>
      </c>
      <c r="K48" s="29"/>
      <c r="L48" s="29"/>
      <c r="M48" s="29"/>
      <c r="N48" s="51"/>
      <c r="O48" s="51">
        <f t="shared" si="5"/>
        <v>12960000</v>
      </c>
    </row>
    <row r="49" spans="1:15" x14ac:dyDescent="0.3">
      <c r="A49" s="29"/>
      <c r="B49" s="74"/>
      <c r="C49" s="29" t="s">
        <v>10</v>
      </c>
      <c r="D49" s="29">
        <v>1</v>
      </c>
      <c r="E49" s="29"/>
      <c r="F49" s="29"/>
      <c r="G49" s="29"/>
      <c r="H49" s="29"/>
      <c r="I49" s="29"/>
      <c r="J49" s="29">
        <v>1200</v>
      </c>
      <c r="K49" s="29"/>
      <c r="L49" s="29"/>
      <c r="M49" s="29"/>
      <c r="N49" s="51"/>
      <c r="O49" s="51">
        <f t="shared" si="5"/>
        <v>12960000</v>
      </c>
    </row>
    <row r="50" spans="1:15" x14ac:dyDescent="0.3">
      <c r="A50" s="29"/>
      <c r="B50" s="74"/>
      <c r="C50" s="29" t="s">
        <v>20</v>
      </c>
      <c r="D50" s="29">
        <v>1</v>
      </c>
      <c r="E50" s="29"/>
      <c r="F50" s="29"/>
      <c r="G50" s="29"/>
      <c r="H50" s="29"/>
      <c r="I50" s="29"/>
      <c r="J50" s="29">
        <v>1200</v>
      </c>
      <c r="K50" s="29"/>
      <c r="L50" s="29"/>
      <c r="M50" s="29"/>
      <c r="N50" s="51"/>
      <c r="O50" s="51">
        <f t="shared" si="5"/>
        <v>12960000</v>
      </c>
    </row>
    <row r="51" spans="1:15" x14ac:dyDescent="0.3">
      <c r="A51" s="29"/>
      <c r="B51" s="74"/>
      <c r="C51" s="29" t="s">
        <v>124</v>
      </c>
      <c r="D51" s="29">
        <v>1</v>
      </c>
      <c r="E51" s="29"/>
      <c r="F51" s="29"/>
      <c r="G51" s="29"/>
      <c r="H51" s="29"/>
      <c r="I51" s="29"/>
      <c r="J51" s="29">
        <v>1200</v>
      </c>
      <c r="K51" s="29"/>
      <c r="L51" s="29"/>
      <c r="M51" s="29"/>
      <c r="N51" s="51"/>
      <c r="O51" s="51">
        <f t="shared" si="5"/>
        <v>12960000</v>
      </c>
    </row>
    <row r="52" spans="1:15" x14ac:dyDescent="0.3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59"/>
      <c r="O52" s="59">
        <f>SUM(O46:O51)</f>
        <v>116640000</v>
      </c>
    </row>
    <row r="53" spans="1:15" x14ac:dyDescent="0.3">
      <c r="A53" s="29">
        <v>9</v>
      </c>
      <c r="B53" s="74" t="s">
        <v>33</v>
      </c>
      <c r="C53" s="29" t="s">
        <v>26</v>
      </c>
      <c r="D53" s="29">
        <v>3</v>
      </c>
      <c r="E53" s="29"/>
      <c r="F53" s="29"/>
      <c r="G53" s="29"/>
      <c r="H53" s="29"/>
      <c r="I53" s="29"/>
      <c r="J53" s="29"/>
      <c r="K53" s="29"/>
      <c r="L53" s="29">
        <v>200000</v>
      </c>
      <c r="M53" s="29"/>
      <c r="N53" s="51"/>
      <c r="O53" s="51">
        <f>L53*D53</f>
        <v>600000</v>
      </c>
    </row>
    <row r="54" spans="1:15" x14ac:dyDescent="0.3">
      <c r="A54" s="29"/>
      <c r="B54" s="74"/>
      <c r="C54" s="29" t="s">
        <v>7</v>
      </c>
      <c r="D54" s="29">
        <v>1</v>
      </c>
      <c r="E54" s="29"/>
      <c r="F54" s="29"/>
      <c r="G54" s="29"/>
      <c r="H54" s="29"/>
      <c r="I54" s="29"/>
      <c r="J54" s="29"/>
      <c r="K54" s="29"/>
      <c r="L54" s="29">
        <v>200000</v>
      </c>
      <c r="M54" s="29"/>
      <c r="N54" s="51"/>
      <c r="O54" s="51">
        <f t="shared" ref="O54:O61" si="6">L54*D54</f>
        <v>200000</v>
      </c>
    </row>
    <row r="55" spans="1:15" x14ac:dyDescent="0.3">
      <c r="A55" s="29"/>
      <c r="B55" s="74"/>
      <c r="C55" s="29" t="s">
        <v>8</v>
      </c>
      <c r="D55" s="29">
        <v>1</v>
      </c>
      <c r="E55" s="29"/>
      <c r="F55" s="29"/>
      <c r="G55" s="29"/>
      <c r="H55" s="29"/>
      <c r="I55" s="29"/>
      <c r="J55" s="29"/>
      <c r="K55" s="29"/>
      <c r="L55" s="29">
        <v>200000</v>
      </c>
      <c r="M55" s="29"/>
      <c r="N55" s="51"/>
      <c r="O55" s="51">
        <f t="shared" si="6"/>
        <v>200000</v>
      </c>
    </row>
    <row r="56" spans="1:15" x14ac:dyDescent="0.3">
      <c r="A56" s="29"/>
      <c r="B56" s="74"/>
      <c r="C56" s="29" t="s">
        <v>10</v>
      </c>
      <c r="D56" s="29">
        <v>1</v>
      </c>
      <c r="E56" s="29"/>
      <c r="F56" s="29"/>
      <c r="G56" s="29"/>
      <c r="H56" s="29"/>
      <c r="I56" s="29"/>
      <c r="J56" s="29"/>
      <c r="K56" s="29"/>
      <c r="L56" s="29">
        <v>200000</v>
      </c>
      <c r="M56" s="29"/>
      <c r="N56" s="51"/>
      <c r="O56" s="51">
        <f t="shared" si="6"/>
        <v>200000</v>
      </c>
    </row>
    <row r="57" spans="1:15" x14ac:dyDescent="0.3">
      <c r="A57" s="29"/>
      <c r="B57" s="74"/>
      <c r="C57" s="29" t="s">
        <v>21</v>
      </c>
      <c r="D57" s="29">
        <v>1</v>
      </c>
      <c r="E57" s="29"/>
      <c r="F57" s="29"/>
      <c r="G57" s="29"/>
      <c r="H57" s="29"/>
      <c r="I57" s="29"/>
      <c r="J57" s="29"/>
      <c r="K57" s="29"/>
      <c r="L57" s="29">
        <v>200000</v>
      </c>
      <c r="M57" s="29"/>
      <c r="N57" s="51"/>
      <c r="O57" s="51">
        <f t="shared" si="6"/>
        <v>200000</v>
      </c>
    </row>
    <row r="58" spans="1:15" x14ac:dyDescent="0.3">
      <c r="A58" s="29"/>
      <c r="B58" s="74"/>
      <c r="C58" s="29" t="s">
        <v>20</v>
      </c>
      <c r="D58" s="29">
        <v>1</v>
      </c>
      <c r="E58" s="29"/>
      <c r="F58" s="29"/>
      <c r="G58" s="29"/>
      <c r="H58" s="29"/>
      <c r="I58" s="29"/>
      <c r="J58" s="29"/>
      <c r="K58" s="29"/>
      <c r="L58" s="29">
        <v>200000</v>
      </c>
      <c r="M58" s="29"/>
      <c r="N58" s="51"/>
      <c r="O58" s="51">
        <f t="shared" si="6"/>
        <v>200000</v>
      </c>
    </row>
    <row r="59" spans="1:15" x14ac:dyDescent="0.3">
      <c r="A59" s="29"/>
      <c r="B59" s="74"/>
      <c r="C59" s="29" t="s">
        <v>21</v>
      </c>
      <c r="D59" s="29">
        <v>1</v>
      </c>
      <c r="E59" s="29"/>
      <c r="F59" s="29"/>
      <c r="G59" s="29"/>
      <c r="H59" s="29"/>
      <c r="I59" s="29"/>
      <c r="J59" s="29"/>
      <c r="K59" s="29"/>
      <c r="L59" s="29">
        <v>200000</v>
      </c>
      <c r="M59" s="29"/>
      <c r="N59" s="51"/>
      <c r="O59" s="51">
        <f t="shared" si="6"/>
        <v>200000</v>
      </c>
    </row>
    <row r="60" spans="1:15" x14ac:dyDescent="0.3">
      <c r="A60" s="29"/>
      <c r="B60" s="74"/>
      <c r="C60" s="29" t="s">
        <v>124</v>
      </c>
      <c r="D60" s="29">
        <v>1</v>
      </c>
      <c r="E60" s="29"/>
      <c r="F60" s="29"/>
      <c r="G60" s="29"/>
      <c r="H60" s="29"/>
      <c r="I60" s="29"/>
      <c r="J60" s="29"/>
      <c r="K60" s="29"/>
      <c r="L60" s="29">
        <v>200000</v>
      </c>
      <c r="M60" s="29"/>
      <c r="N60" s="51"/>
      <c r="O60" s="51">
        <f t="shared" si="6"/>
        <v>200000</v>
      </c>
    </row>
    <row r="61" spans="1:15" x14ac:dyDescent="0.3">
      <c r="A61" s="29"/>
      <c r="B61" s="74"/>
      <c r="C61" s="29" t="s">
        <v>22</v>
      </c>
      <c r="D61" s="29">
        <v>2</v>
      </c>
      <c r="E61" s="29"/>
      <c r="F61" s="29"/>
      <c r="G61" s="29"/>
      <c r="H61" s="29"/>
      <c r="I61" s="29"/>
      <c r="J61" s="29"/>
      <c r="K61" s="29"/>
      <c r="L61" s="29">
        <v>200000</v>
      </c>
      <c r="M61" s="29"/>
      <c r="N61" s="51"/>
      <c r="O61" s="51">
        <f t="shared" si="6"/>
        <v>400000</v>
      </c>
    </row>
    <row r="62" spans="1:15" x14ac:dyDescent="0.3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59"/>
      <c r="O62" s="59">
        <f>SUM(O53:O61)</f>
        <v>2400000</v>
      </c>
    </row>
    <row r="63" spans="1:15" x14ac:dyDescent="0.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59" t="s">
        <v>27</v>
      </c>
      <c r="O63" s="60">
        <f>O62+O52+O45+O43+O34+O30+O25+O15</f>
        <v>700350000</v>
      </c>
    </row>
    <row r="65" spans="15:15" x14ac:dyDescent="0.3">
      <c r="O65" s="7"/>
    </row>
    <row r="66" spans="15:15" ht="15" thickBot="1" x14ac:dyDescent="0.35">
      <c r="O66" s="9"/>
    </row>
    <row r="67" spans="15:15" ht="15" thickTop="1" x14ac:dyDescent="0.3"/>
  </sheetData>
  <mergeCells count="9">
    <mergeCell ref="B35:B42"/>
    <mergeCell ref="B46:B51"/>
    <mergeCell ref="B53:B61"/>
    <mergeCell ref="B31:B33"/>
    <mergeCell ref="A1:O1"/>
    <mergeCell ref="B7:B14"/>
    <mergeCell ref="B16:B24"/>
    <mergeCell ref="B26:B29"/>
    <mergeCell ref="D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 Page</vt:lpstr>
      <vt:lpstr>Assumption &amp; Definition</vt:lpstr>
      <vt:lpstr>Revenue</vt:lpstr>
      <vt:lpstr>Expenses</vt:lpstr>
      <vt:lpstr>2021-22</vt:lpstr>
      <vt:lpstr>2022-23</vt:lpstr>
      <vt:lpstr>2023-24</vt:lpstr>
      <vt:lpstr>2024-25</vt:lpstr>
      <vt:lpstr>2025-26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 Mohanty</dc:creator>
  <cp:lastModifiedBy>Diptis Mohanty</cp:lastModifiedBy>
  <dcterms:created xsi:type="dcterms:W3CDTF">2023-01-04T10:55:10Z</dcterms:created>
  <dcterms:modified xsi:type="dcterms:W3CDTF">2023-12-27T11:12:57Z</dcterms:modified>
</cp:coreProperties>
</file>